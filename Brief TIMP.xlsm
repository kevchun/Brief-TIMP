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GH work\TIMP\"/>
    </mc:Choice>
  </mc:AlternateContent>
  <xr:revisionPtr revIDLastSave="0" documentId="13_ncr:1_{DDE72DAB-9D0A-4CD9-AED1-44EDAC6CC182}" xr6:coauthVersionLast="47" xr6:coauthVersionMax="47" xr10:uidLastSave="{00000000-0000-0000-0000-000000000000}"/>
  <bookViews>
    <workbookView xWindow="864" yWindow="-108" windowWidth="22284" windowHeight="13176" xr2:uid="{AE629E59-C953-48E6-AFE5-FECFAF3716E2}"/>
  </bookViews>
  <sheets>
    <sheet name="Template" sheetId="1" r:id="rId1"/>
    <sheet name="Database" sheetId="3" r:id="rId2"/>
    <sheet name="Ref" sheetId="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F6" i="1" s="1"/>
  <c r="E22" i="1" s="1"/>
  <c r="E20" i="1"/>
  <c r="E21" i="1" s="1"/>
  <c r="E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tc={2F749DC8-7D4F-4D42-A665-CC1509E81BD1}</author>
  </authors>
  <commentList>
    <comment ref="F5" authorId="0" shapeId="0" xr:uid="{2F749DC8-7D4F-4D42-A665-CC1509E81BD1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a number from 1 to 17 for post term or 34 to 41 for pre-term.</t>
      </text>
    </comment>
  </commentList>
</comments>
</file>

<file path=xl/sharedStrings.xml><?xml version="1.0" encoding="utf-8"?>
<sst xmlns="http://schemas.openxmlformats.org/spreadsheetml/2006/main" count="66" uniqueCount="57">
  <si>
    <t>Date of birth</t>
  </si>
  <si>
    <t>Score</t>
  </si>
  <si>
    <t>Brief TIMP Scoring Template</t>
  </si>
  <si>
    <t>Therapist's Name</t>
  </si>
  <si>
    <t>Brief TIMP score</t>
  </si>
  <si>
    <t>Expected TIMP score</t>
  </si>
  <si>
    <t>Remarks</t>
  </si>
  <si>
    <t>Age (weeks)</t>
  </si>
  <si>
    <t>0-4</t>
  </si>
  <si>
    <t>0-5</t>
  </si>
  <si>
    <t>Score Range</t>
  </si>
  <si>
    <t>PCA</t>
  </si>
  <si>
    <t>Permissible Age</t>
  </si>
  <si>
    <t>Far Below</t>
  </si>
  <si>
    <t>Below</t>
  </si>
  <si>
    <t>low ave</t>
  </si>
  <si>
    <t>ave</t>
  </si>
  <si>
    <t>ave range</t>
  </si>
  <si>
    <t>Brief TIMP Score </t>
  </si>
  <si>
    <t>Estimated TIMP Score </t>
  </si>
  <si>
    <t>Infant ID</t>
  </si>
  <si>
    <t>Test Date</t>
  </si>
  <si>
    <t>therapist_name</t>
  </si>
  <si>
    <t>infant_id</t>
  </si>
  <si>
    <t>dob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</si>
  <si>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</si>
  <si>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</si>
  <si>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</si>
  <si>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</si>
  <si>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</si>
  <si>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</si>
  <si>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</si>
  <si>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</si>
  <si>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</si>
  <si>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brief_timp</t>
  </si>
  <si>
    <t>expected_timp</t>
  </si>
  <si>
    <t>remarks</t>
  </si>
  <si>
    <t>q10</t>
  </si>
  <si>
    <t>timp_date</t>
  </si>
  <si>
    <t>pca_wks</t>
  </si>
  <si>
    <t>How to Use</t>
  </si>
  <si>
    <t>Post Conceptual Age (weeks)</t>
  </si>
  <si>
    <t>1. Head Rotation Side to Side</t>
  </si>
  <si>
    <t>2. Head Control-Posterior Neck Muscles</t>
  </si>
  <si>
    <t>3. Head Control-Anterior Neck Muscles</t>
  </si>
  <si>
    <t>4. Head Control-Lowered from Sitting</t>
  </si>
  <si>
    <t>5. Hip and Knee Flexion</t>
  </si>
  <si>
    <t>6. Pull to Sit</t>
  </si>
  <si>
    <t>7. Prone Suspension</t>
  </si>
  <si>
    <t>8. Standing</t>
  </si>
  <si>
    <t>9. Lateral Head Righting (Right)</t>
  </si>
  <si>
    <t>10. Lateral Head Righting (Left)</t>
  </si>
  <si>
    <t>Expected Z-score</t>
  </si>
  <si>
    <t>Mean</t>
  </si>
  <si>
    <t>Sd</t>
  </si>
  <si>
    <t>expected_z_score</t>
  </si>
  <si>
    <t xml:space="preserve">1. If you are administering TIMP today, press "Today's Date".
2. Fill up all the remaining Gray cells
3. Press "Submit" to store the data in "Database" worksheet.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</si>
</sst>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6BEFE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3" borderId="1" xfId="0" applyFill="1" applyBorder="1"/>
    <xf numFmtId="0" fontId="0" fillId="4" borderId="0" xfId="0" applyFill="1" applyBorder="1"/>
    <xf numFmtId="0" fontId="0" fillId="3" borderId="0" xfId="0" applyFill="1" applyBorder="1"/>
    <xf numFmtId="1" fontId="0" fillId="0" borderId="0" xfId="0" applyNumberFormat="1"/>
    <xf numFmtId="0" fontId="0" fillId="3" borderId="5" xfId="0" applyFill="1" applyBorder="1"/>
    <xf numFmtId="0" fontId="0" fillId="3" borderId="6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0" xfId="0" applyFill="1" applyBorder="1" applyAlignment="1">
      <alignment horizontal="center"/>
    </xf>
    <xf numFmtId="14" fontId="0" fillId="3" borderId="0" xfId="0" applyNumberFormat="1" applyFill="1" applyBorder="1"/>
    <xf numFmtId="14" fontId="0" fillId="0" borderId="0" xfId="0" applyNumberFormat="1"/>
    <xf numFmtId="0" fontId="0" fillId="6" borderId="0" xfId="0" applyFill="1" applyBorder="1"/>
    <xf numFmtId="0" fontId="0" fillId="6" borderId="3" xfId="0" applyFill="1" applyBorder="1" applyAlignment="1">
      <alignment horizontal="center"/>
    </xf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0" fillId="0" borderId="0" xfId="0" applyAlignment="1">
      <alignment wrapText="1"/>
    </xf>
    <xf numFmtId="0" fontId="0" fillId="5" borderId="2" xfId="0" applyFill="1" applyBorder="1" applyProtection="1">
      <protection locked="0"/>
    </xf>
    <xf numFmtId="14" fontId="0" fillId="5" borderId="1" xfId="0" applyNumberFormat="1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4" fillId="0" borderId="21" xfId="0" applyFont="1" applyBorder="1"/>
    <xf numFmtId="0" fontId="0" fillId="7" borderId="0" xfId="0" applyFont="1" applyFill="1"/>
    <xf numFmtId="0" fontId="0" fillId="0" borderId="0" xfId="0" applyFont="1"/>
    <xf numFmtId="0" fontId="0" fillId="0" borderId="22" xfId="0" applyFont="1" applyBorder="1"/>
    <xf numFmtId="0" fontId="0" fillId="0" borderId="0" xfId="0" applyFill="1"/>
    <xf numFmtId="0" fontId="0" fillId="0" borderId="0" xfId="0" applyFont="1" applyFill="1" applyBorder="1" applyAlignment="1">
      <alignment horizontal="center"/>
    </xf>
    <xf numFmtId="0" fontId="6" fillId="0" borderId="0" xfId="0" applyFont="1" applyFill="1" applyBorder="1" applyAlignment="1"/>
    <xf numFmtId="0" fontId="5" fillId="0" borderId="0" xfId="0" applyFont="1" applyFill="1" applyBorder="1" applyAlignment="1"/>
    <xf numFmtId="0" fontId="5" fillId="0" borderId="0" xfId="0" applyFont="1" applyFill="1" applyBorder="1"/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left" vertical="center"/>
    </xf>
    <xf numFmtId="0" fontId="0" fillId="6" borderId="7" xfId="0" applyFill="1" applyBorder="1" applyAlignment="1">
      <alignment horizontal="left" vertical="center"/>
    </xf>
    <xf numFmtId="0" fontId="0" fillId="0" borderId="0" xfId="0" applyFon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</cellXfs>
  <cellStyles count="1"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numFmt numFmtId="1" formatCode="0"/>
    </dxf>
    <dxf>
      <fill>
        <patternFill>
          <bgColor theme="5"/>
        </patternFill>
      </fill>
    </dxf>
    <dxf>
      <fill>
        <patternFill>
          <bgColor rgb="FF1A9850"/>
        </patternFill>
      </fill>
    </dxf>
  </dxfs>
  <tableStyles count="0" defaultTableStyle="TableStyleMedium2" defaultPivotStyle="PivotStyleLight16"/>
  <colors>
    <mruColors>
      <color rgb="FFFFFFFF"/>
      <color rgb="FFE6BEFE"/>
      <color rgb="FF1A9850"/>
      <color rgb="FF66BD62"/>
      <color rgb="FFD8F08C"/>
      <color rgb="FFFFFDBF"/>
      <color rgb="FFFDAE61"/>
      <color rgb="FFF46D44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26" fmlaLink="#REF!" horiz="1" max="76" min="1" noThreeD="1" page="46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278552</xdr:colOff>
      <xdr:row>7</xdr:row>
      <xdr:rowOff>36954</xdr:rowOff>
    </xdr:from>
    <xdr:to>
      <xdr:col>8</xdr:col>
      <xdr:colOff>410818</xdr:colOff>
      <xdr:row>9</xdr:row>
      <xdr:rowOff>159028</xdr:rowOff>
    </xdr:to>
    <xdr:sp macro="[0]!_xludf.to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39526" y="1527824"/>
          <a:ext cx="741866" cy="493134"/>
        </a:xfrm>
        <a:prstGeom prst="roundRect">
          <a:avLst>
            <a:gd name="adj" fmla="val 50000"/>
          </a:avLst>
        </a:prstGeom>
        <a:solidFill>
          <a:schemeClr val="bg1"/>
        </a:solidFill>
        <a:ln w="571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800">
              <a:solidFill>
                <a:sysClr val="windowText" lastClr="000000"/>
              </a:solidFill>
            </a:rPr>
            <a:t>Today's Date</a:t>
          </a:r>
        </a:p>
      </xdr:txBody>
    </xdr:sp>
    <xdr:clientData/>
  </xdr:twoCellAnchor>
  <xdr:twoCellAnchor>
    <xdr:from>
      <xdr:col>8</xdr:col>
      <xdr:colOff>500779</xdr:colOff>
      <xdr:row>7</xdr:row>
      <xdr:rowOff>33130</xdr:rowOff>
    </xdr:from>
    <xdr:to>
      <xdr:col>11</xdr:col>
      <xdr:colOff>119779</xdr:colOff>
      <xdr:row>9</xdr:row>
      <xdr:rowOff>149089</xdr:rowOff>
    </xdr:to>
    <xdr:sp macro="[0]!submi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571353" y="1524000"/>
          <a:ext cx="1447800" cy="487019"/>
        </a:xfrm>
        <a:prstGeom prst="roundRect">
          <a:avLst>
            <a:gd name="adj" fmla="val 50000"/>
          </a:avLst>
        </a:prstGeom>
        <a:solidFill>
          <a:schemeClr val="bg1"/>
        </a:solidFill>
        <a:ln w="571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000">
              <a:solidFill>
                <a:sysClr val="windowText" lastClr="000000"/>
              </a:solidFill>
            </a:rPr>
            <a:t>Submit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22</xdr:row>
          <xdr:rowOff>0</xdr:rowOff>
        </xdr:from>
        <xdr:to>
          <xdr:col>27</xdr:col>
          <xdr:colOff>426720</xdr:colOff>
          <xdr:row>22</xdr:row>
          <xdr:rowOff>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evin ." id="{5CD58E2B-4832-49CB-ADD6-B95788C93A9D}" userId="ce5295490b011f0e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748012-D27C-452A-B7E9-DBA71F130A3C}" name="Table1" displayName="Table1" ref="A1:A26" totalsRowShown="0">
  <autoFilter ref="A1:A26" xr:uid="{93748012-D27C-452A-B7E9-DBA71F130A3C}">
    <filterColumn colId="0" hiddenButton="1"/>
  </autoFilter>
  <tableColumns count="1">
    <tableColumn id="1" xr3:uid="{FD042A35-02FC-4D83-B10E-431D3594EB7A}" name="Permissible Age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133D03-9EE4-4321-A36E-DCAE1CDB3C5C}" name="Table2" displayName="Table2" ref="C1:H25" totalsRowShown="0">
  <autoFilter ref="C1:H25" xr:uid="{FD133D03-9EE4-4321-A36E-DCAE1CDB3C5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5C9F5E55-768B-4225-BCEA-EFD00E521372}" name="PCA"/>
    <tableColumn id="2" xr3:uid="{B07AA24C-2297-452D-B3FD-3972CE1DEF24}" name="Far Below"/>
    <tableColumn id="3" xr3:uid="{4379E779-F0AF-45B6-A093-AFED211BFD50}" name="Below"/>
    <tableColumn id="4" xr3:uid="{D97BFDD3-CF20-410B-9BF0-BB1DA4C25AAD}" name="low ave"/>
    <tableColumn id="5" xr3:uid="{96BFBAF5-8E6F-4EFA-8A1C-34DD90AF2EB5}" name="ave"/>
    <tableColumn id="6" xr3:uid="{5F219348-8800-4FEB-A6C7-FC600EE97D97}" name="ave range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B68ACB-2686-4516-B968-9279E28B16C1}" name="Table3" displayName="Table3" ref="J1:K32" totalsRowShown="0">
  <autoFilter ref="J1:K32" xr:uid="{DAB68ACB-2686-4516-B968-9279E28B16C1}">
    <filterColumn colId="0" hiddenButton="1"/>
    <filterColumn colId="1" hiddenButton="1"/>
  </autoFilter>
  <tableColumns count="2">
    <tableColumn id="1" xr3:uid="{3DD75014-82EC-46D7-9A6C-82E621C20499}" name="Brief TIMP Score " dataDxfId="2"/>
    <tableColumn id="2" xr3:uid="{34EE90C6-6F76-4D17-A9D9-AA06391F3200}" name="Estimated TIMP Score " dataDxfId="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8577B8-C048-48B0-8CA0-662457F73C1C}" name="Table5" displayName="Table5" ref="M1:O25" totalsRowShown="0">
  <autoFilter ref="M1:O25" xr:uid="{048577B8-C048-48B0-8CA0-662457F73C1C}">
    <filterColumn colId="0" hiddenButton="1"/>
    <filterColumn colId="1" hiddenButton="1"/>
    <filterColumn colId="2" hiddenButton="1"/>
  </autoFilter>
  <tableColumns count="3">
    <tableColumn id="1" xr3:uid="{2FF6937D-8CB3-437A-9A42-2A1DCC2D498F}" name="PCA" dataDxfId="0"/>
    <tableColumn id="2" xr3:uid="{4714D00D-7ED1-45DB-AAA3-3EA69106E984}" name="Mean"/>
    <tableColumn id="3" xr3:uid="{2DB870A0-30C7-4E40-BF79-C965BD06D4B1}" name="S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5" dT="2021-12-22T08:43:45.69" personId="{5CD58E2B-4832-49CB-ADD6-B95788C93A9D}" id="{2F749DC8-7D4F-4D42-A665-CC1509E81BD1}">
    <text>Enter a number from 1 to 17 for post term or 34 to 41 for pre-term.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FC21A-A5E7-41EB-B252-46B9C8659492}">
  <sheetPr codeName="Sheet1"/>
  <dimension ref="B1:M33"/>
  <sheetViews>
    <sheetView showGridLines="0" tabSelected="1" zoomScaleNormal="100" workbookViewId="0">
      <selection activeCell="J3" sqref="J3"/>
    </sheetView>
  </sheetViews>
  <sheetFormatPr defaultRowHeight="14.4" x14ac:dyDescent="0.3"/>
  <cols>
    <col min="1" max="1" width="3.5546875" customWidth="1"/>
    <col min="2" max="2" width="15.5546875" customWidth="1"/>
    <col min="3" max="3" width="16" customWidth="1"/>
    <col min="4" max="4" width="6" customWidth="1"/>
    <col min="5" max="5" width="25.44140625" bestFit="1" customWidth="1"/>
    <col min="6" max="6" width="18.6640625" customWidth="1"/>
    <col min="7" max="7" width="18.21875" bestFit="1" customWidth="1"/>
  </cols>
  <sheetData>
    <row r="1" spans="2:13" ht="7.8" customHeight="1" thickBot="1" x14ac:dyDescent="0.35"/>
    <row r="2" spans="2:13" ht="29.4" thickBot="1" x14ac:dyDescent="0.6">
      <c r="B2" s="36" t="s">
        <v>2</v>
      </c>
      <c r="C2" s="37"/>
      <c r="D2" s="37"/>
      <c r="E2" s="37"/>
      <c r="F2" s="37"/>
      <c r="G2" s="38"/>
      <c r="M2" s="29"/>
    </row>
    <row r="3" spans="2:13" x14ac:dyDescent="0.3">
      <c r="B3" s="5" t="s">
        <v>3</v>
      </c>
      <c r="C3" s="18"/>
      <c r="D3" s="3"/>
      <c r="E3" s="3" t="s">
        <v>20</v>
      </c>
      <c r="F3" s="18"/>
      <c r="G3" s="6"/>
      <c r="M3" s="30"/>
    </row>
    <row r="4" spans="2:13" x14ac:dyDescent="0.3">
      <c r="B4" s="5" t="s">
        <v>21</v>
      </c>
      <c r="C4" s="19"/>
      <c r="D4" s="3"/>
      <c r="E4" s="3" t="s">
        <v>0</v>
      </c>
      <c r="F4" s="19"/>
      <c r="G4" s="6"/>
      <c r="M4" s="30"/>
    </row>
    <row r="5" spans="2:13" x14ac:dyDescent="0.3">
      <c r="B5" s="5"/>
      <c r="C5" s="3"/>
      <c r="D5" s="3"/>
      <c r="E5" s="3" t="s">
        <v>7</v>
      </c>
      <c r="F5" s="20">
        <v>40</v>
      </c>
      <c r="G5" s="6" t="str">
        <f>IF(AND(F5&gt;25,F5&lt;45),"Post Conceptual Age",IF(ISBLANK(F5),"","Post-term"))</f>
        <v>Post Conceptual Age</v>
      </c>
      <c r="M5" s="30"/>
    </row>
    <row r="6" spans="2:13" x14ac:dyDescent="0.3">
      <c r="B6" s="5"/>
      <c r="C6" s="3"/>
      <c r="D6" s="3"/>
      <c r="E6" s="3" t="s">
        <v>41</v>
      </c>
      <c r="F6" s="1">
        <f>IF(G5="post-term",F5+40,F5)</f>
        <v>40</v>
      </c>
      <c r="G6" s="6"/>
      <c r="M6" s="30"/>
    </row>
    <row r="7" spans="2:13" x14ac:dyDescent="0.3">
      <c r="B7" s="7"/>
      <c r="C7" s="2"/>
      <c r="D7" s="2"/>
      <c r="E7" s="2"/>
      <c r="F7" s="2"/>
      <c r="G7" s="8"/>
      <c r="M7" s="30"/>
    </row>
    <row r="8" spans="2:13" x14ac:dyDescent="0.3">
      <c r="B8" s="7"/>
      <c r="C8" s="2"/>
      <c r="D8" s="2"/>
      <c r="E8" s="9" t="s">
        <v>1</v>
      </c>
      <c r="F8" s="9" t="s">
        <v>10</v>
      </c>
      <c r="G8" s="8"/>
      <c r="M8" s="30"/>
    </row>
    <row r="9" spans="2:13" x14ac:dyDescent="0.3">
      <c r="B9" s="7" t="s">
        <v>42</v>
      </c>
      <c r="C9" s="2"/>
      <c r="D9" s="2"/>
      <c r="E9" s="21"/>
      <c r="F9" s="9" t="s">
        <v>8</v>
      </c>
      <c r="G9" s="8"/>
      <c r="K9" s="17"/>
      <c r="M9" s="30"/>
    </row>
    <row r="10" spans="2:13" x14ac:dyDescent="0.3">
      <c r="B10" s="7" t="s">
        <v>43</v>
      </c>
      <c r="C10" s="2"/>
      <c r="D10" s="2"/>
      <c r="E10" s="21"/>
      <c r="F10" s="9" t="s">
        <v>9</v>
      </c>
      <c r="G10" s="8"/>
      <c r="M10" s="30"/>
    </row>
    <row r="11" spans="2:13" x14ac:dyDescent="0.3">
      <c r="B11" s="7" t="s">
        <v>44</v>
      </c>
      <c r="C11" s="2"/>
      <c r="D11" s="2"/>
      <c r="E11" s="21"/>
      <c r="F11" s="9" t="s">
        <v>8</v>
      </c>
      <c r="G11" s="8"/>
      <c r="M11" s="30"/>
    </row>
    <row r="12" spans="2:13" x14ac:dyDescent="0.3">
      <c r="B12" s="7" t="s">
        <v>45</v>
      </c>
      <c r="C12" s="2"/>
      <c r="D12" s="2"/>
      <c r="E12" s="21"/>
      <c r="F12" s="9" t="s">
        <v>8</v>
      </c>
      <c r="G12" s="8"/>
      <c r="M12" s="30"/>
    </row>
    <row r="13" spans="2:13" x14ac:dyDescent="0.3">
      <c r="B13" s="7" t="s">
        <v>46</v>
      </c>
      <c r="C13" s="2"/>
      <c r="D13" s="2"/>
      <c r="E13" s="21"/>
      <c r="F13" s="9" t="s">
        <v>8</v>
      </c>
      <c r="G13" s="8"/>
      <c r="I13" s="39" t="s">
        <v>40</v>
      </c>
      <c r="J13" s="40"/>
      <c r="K13" s="41"/>
      <c r="M13" s="30"/>
    </row>
    <row r="14" spans="2:13" x14ac:dyDescent="0.3">
      <c r="B14" s="7" t="s">
        <v>47</v>
      </c>
      <c r="C14" s="2"/>
      <c r="D14" s="2"/>
      <c r="E14" s="21"/>
      <c r="F14" s="9" t="s">
        <v>9</v>
      </c>
      <c r="G14" s="8"/>
      <c r="I14" s="42" t="s">
        <v>56</v>
      </c>
      <c r="J14" s="43"/>
      <c r="K14" s="44"/>
      <c r="M14" s="30"/>
    </row>
    <row r="15" spans="2:13" x14ac:dyDescent="0.3">
      <c r="B15" s="7" t="s">
        <v>48</v>
      </c>
      <c r="C15" s="2"/>
      <c r="D15" s="2"/>
      <c r="E15" s="21"/>
      <c r="F15" s="9" t="s">
        <v>8</v>
      </c>
      <c r="G15" s="8"/>
      <c r="I15" s="42"/>
      <c r="J15" s="43"/>
      <c r="K15" s="44"/>
      <c r="M15" s="30"/>
    </row>
    <row r="16" spans="2:13" x14ac:dyDescent="0.3">
      <c r="B16" s="7" t="s">
        <v>49</v>
      </c>
      <c r="C16" s="2"/>
      <c r="D16" s="2"/>
      <c r="E16" s="21"/>
      <c r="F16" s="9" t="s">
        <v>8</v>
      </c>
      <c r="G16" s="8"/>
      <c r="I16" s="42"/>
      <c r="J16" s="43"/>
      <c r="K16" s="44"/>
      <c r="M16" s="30"/>
    </row>
    <row r="17" spans="2:13" x14ac:dyDescent="0.3">
      <c r="B17" s="7" t="s">
        <v>50</v>
      </c>
      <c r="C17" s="2"/>
      <c r="D17" s="2"/>
      <c r="E17" s="21"/>
      <c r="F17" s="9" t="s">
        <v>8</v>
      </c>
      <c r="G17" s="8"/>
      <c r="I17" s="42"/>
      <c r="J17" s="43"/>
      <c r="K17" s="44"/>
      <c r="M17" s="30"/>
    </row>
    <row r="18" spans="2:13" x14ac:dyDescent="0.3">
      <c r="B18" s="7" t="s">
        <v>51</v>
      </c>
      <c r="C18" s="2"/>
      <c r="D18" s="2"/>
      <c r="E18" s="21"/>
      <c r="F18" s="9" t="s">
        <v>8</v>
      </c>
      <c r="G18" s="8"/>
      <c r="I18" s="42"/>
      <c r="J18" s="43"/>
      <c r="K18" s="44"/>
      <c r="M18" s="30"/>
    </row>
    <row r="19" spans="2:13" ht="15" thickBot="1" x14ac:dyDescent="0.35">
      <c r="B19" s="7"/>
      <c r="C19" s="2"/>
      <c r="D19" s="2"/>
      <c r="E19" s="2"/>
      <c r="F19" s="2"/>
      <c r="G19" s="8"/>
      <c r="I19" s="42"/>
      <c r="J19" s="43"/>
      <c r="K19" s="44"/>
      <c r="M19" s="30"/>
    </row>
    <row r="20" spans="2:13" ht="15" thickBot="1" x14ac:dyDescent="0.35">
      <c r="B20" s="32" t="s">
        <v>4</v>
      </c>
      <c r="C20" s="12"/>
      <c r="D20" s="12"/>
      <c r="E20" s="13">
        <f>SUM(E9:E18)</f>
        <v>0</v>
      </c>
      <c r="F20" s="12"/>
      <c r="G20" s="14"/>
      <c r="I20" s="42"/>
      <c r="J20" s="43"/>
      <c r="K20" s="44"/>
      <c r="M20" s="30"/>
    </row>
    <row r="21" spans="2:13" ht="15" customHeight="1" thickBot="1" x14ac:dyDescent="0.6">
      <c r="B21" s="32" t="s">
        <v>5</v>
      </c>
      <c r="C21" s="12"/>
      <c r="D21" s="12"/>
      <c r="E21" s="31">
        <f>IF(E20&gt;30,142,VLOOKUP(E20,Ref!J2:K32,2))</f>
        <v>15</v>
      </c>
      <c r="F21" s="12"/>
      <c r="G21" s="14"/>
      <c r="I21" s="42"/>
      <c r="J21" s="43"/>
      <c r="K21" s="44"/>
      <c r="M21" s="28"/>
    </row>
    <row r="22" spans="2:13" ht="15" customHeight="1" thickBot="1" x14ac:dyDescent="0.6">
      <c r="B22" s="32" t="s">
        <v>52</v>
      </c>
      <c r="C22" s="12"/>
      <c r="D22" s="12"/>
      <c r="E22" s="35">
        <f>(E21-VLOOKUP(F6,Table5[#All],2,0))/VLOOKUP(F6,Table5[#All],3)</f>
        <v>-3.125</v>
      </c>
      <c r="F22" s="12"/>
      <c r="G22" s="14"/>
      <c r="I22" s="42"/>
      <c r="J22" s="43"/>
      <c r="K22" s="44"/>
      <c r="M22" s="28"/>
    </row>
    <row r="23" spans="2:13" ht="15" thickBot="1" x14ac:dyDescent="0.35">
      <c r="B23" s="33" t="s">
        <v>6</v>
      </c>
      <c r="C23" s="15"/>
      <c r="D23" s="15"/>
      <c r="E23" s="13" t="str">
        <f>IF(E22&gt;1,"Above Average",IF(E22&gt;=-0.5,"Average",IF(E22&gt;=-1,"Low Average",IF(E22&gt;=-2,"Below Average",IF(E22&lt;-2,"Far Below Average")))))</f>
        <v>Far Below Average</v>
      </c>
      <c r="F23" s="15"/>
      <c r="G23" s="16"/>
      <c r="I23" s="45"/>
      <c r="J23" s="46"/>
      <c r="K23" s="47"/>
      <c r="M23" s="30"/>
    </row>
    <row r="24" spans="2:13" x14ac:dyDescent="0.3">
      <c r="M24" s="30"/>
    </row>
    <row r="25" spans="2:13" x14ac:dyDescent="0.3">
      <c r="M25" s="30"/>
    </row>
    <row r="26" spans="2:13" x14ac:dyDescent="0.3">
      <c r="M26" s="30"/>
    </row>
    <row r="27" spans="2:13" x14ac:dyDescent="0.3">
      <c r="M27" s="30"/>
    </row>
    <row r="28" spans="2:13" x14ac:dyDescent="0.3">
      <c r="M28" s="30"/>
    </row>
    <row r="29" spans="2:13" x14ac:dyDescent="0.3">
      <c r="M29" s="30"/>
    </row>
    <row r="30" spans="2:13" x14ac:dyDescent="0.3">
      <c r="M30" s="30"/>
    </row>
    <row r="31" spans="2:13" x14ac:dyDescent="0.3">
      <c r="M31" s="30"/>
    </row>
    <row r="32" spans="2:13" x14ac:dyDescent="0.3">
      <c r="M32" s="30"/>
    </row>
    <row r="33" spans="13:13" x14ac:dyDescent="0.3">
      <c r="M33" s="30"/>
    </row>
  </sheetData>
  <mergeCells count="3">
    <mergeCell ref="B2:G2"/>
    <mergeCell ref="I13:K13"/>
    <mergeCell ref="I14:K23"/>
  </mergeCells>
  <conditionalFormatting sqref="E23">
    <cfRule type="containsText" dxfId="4" priority="1" operator="containsText" text="(Above Average)">
      <formula>NOT(ISERROR(SEARCH("(Above Average)",E23)))</formula>
    </cfRule>
    <cfRule type="containsText" dxfId="3" priority="5" operator="containsText" text="(Below Average)">
      <formula>NOT(ISERROR(SEARCH("(Below Average)",E23)))</formula>
    </cfRule>
  </conditionalFormatting>
  <dataValidations count="4">
    <dataValidation type="whole" allowBlank="1" showInputMessage="1" showErrorMessage="1" error="Enter a number from 0 to 4" sqref="E9 E11:E13 E15:E18" xr:uid="{0B84F92E-4706-4327-B145-9A5F2DAA0F54}">
      <formula1>0</formula1>
      <formula2>4</formula2>
    </dataValidation>
    <dataValidation type="whole" allowBlank="1" showInputMessage="1" showErrorMessage="1" error="Enter a number from 0 to 5" sqref="E10 E14" xr:uid="{992700B7-D438-4F3F-B197-D03622717D4B}">
      <formula1>0</formula1>
      <formula2>5</formula2>
    </dataValidation>
    <dataValidation type="date" allowBlank="1" showInputMessage="1" showErrorMessage="1" error="Enter a date" sqref="C4" xr:uid="{0621BB0C-7905-4ADC-8ED1-2A1A1EB96003}">
      <formula1>43831</formula1>
      <formula2>54789</formula2>
    </dataValidation>
    <dataValidation type="date" operator="greaterThan" allowBlank="1" showInputMessage="1" showErrorMessage="1" sqref="F4" xr:uid="{1B76B6F0-B248-419A-8906-207906D45B5D}">
      <formula1>43831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roll Bar 3">
              <controlPr defaultSize="0" autoPict="0">
                <anchor moveWithCells="1">
                  <from>
                    <xdr:col>11</xdr:col>
                    <xdr:colOff>601980</xdr:colOff>
                    <xdr:row>22</xdr:row>
                    <xdr:rowOff>0</xdr:rowOff>
                  </from>
                  <to>
                    <xdr:col>27</xdr:col>
                    <xdr:colOff>426720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 error="Enter a number from 1 to 17 for post term or 34 to 41 for pre-term." xr:uid="{3A334906-3F6E-42B7-A9C0-1CC6FC8B7FAD}">
          <x14:formula1>
            <xm:f>Ref!$A$2:$A$26</xm:f>
          </x14:formula1>
          <xm:sqref>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7BC93-A92D-4338-A910-7A1FD1EF3323}">
  <sheetPr codeName="Sheet2"/>
  <dimension ref="A2:S845"/>
  <sheetViews>
    <sheetView workbookViewId="0">
      <selection activeCell="F23" sqref="F23"/>
    </sheetView>
  </sheetViews>
  <sheetFormatPr defaultRowHeight="14.4" x14ac:dyDescent="0.3"/>
  <cols>
    <col min="1" max="5" width="14" customWidth="1"/>
    <col min="6" max="14" width="3" bestFit="1" customWidth="1"/>
    <col min="15" max="15" width="4" bestFit="1" customWidth="1"/>
    <col min="16" max="16" width="9.44140625" bestFit="1" customWidth="1"/>
    <col min="17" max="17" width="14" customWidth="1"/>
    <col min="18" max="18" width="15.77734375" bestFit="1" customWidth="1"/>
    <col min="19" max="19" width="14.33203125" bestFit="1" customWidth="1"/>
  </cols>
  <sheetData>
    <row r="2" spans="1:19" x14ac:dyDescent="0.3">
      <c r="A2" s="5" t="s">
        <v>22</v>
      </c>
      <c r="B2" s="10" t="s">
        <v>38</v>
      </c>
      <c r="C2" s="3" t="s">
        <v>23</v>
      </c>
      <c r="D2" s="10" t="s">
        <v>24</v>
      </c>
      <c r="E2" s="3" t="s">
        <v>39</v>
      </c>
      <c r="F2" s="3" t="s">
        <v>25</v>
      </c>
      <c r="G2" s="3" t="s">
        <v>26</v>
      </c>
      <c r="H2" s="3" t="s">
        <v>27</v>
      </c>
      <c r="I2" s="3" t="s">
        <v>28</v>
      </c>
      <c r="J2" s="3" t="s">
        <v>29</v>
      </c>
      <c r="K2" s="3" t="s">
        <v>30</v>
      </c>
      <c r="L2" s="3" t="s">
        <v>31</v>
      </c>
      <c r="M2" s="3" t="s">
        <v>32</v>
      </c>
      <c r="N2" s="3" t="s">
        <v>33</v>
      </c>
      <c r="O2" s="3" t="s">
        <v>37</v>
      </c>
      <c r="P2" s="3" t="s">
        <v>34</v>
      </c>
      <c r="Q2" s="3" t="s">
        <v>35</v>
      </c>
      <c r="R2" s="3" t="s">
        <v>55</v>
      </c>
      <c r="S2" s="3" t="s">
        <v>36</v>
      </c>
    </row>
    <row r="3" spans="1:19" x14ac:dyDescent="0.3">
      <c r="B3" s="11"/>
      <c r="D3" s="11"/>
      <c r="Q3" s="26"/>
      <c r="R3" s="27"/>
      <c r="S3" s="27"/>
    </row>
    <row r="4" spans="1:19" x14ac:dyDescent="0.3">
      <c r="B4" s="11"/>
      <c r="D4" s="11"/>
      <c r="Q4" s="26"/>
      <c r="R4" s="27"/>
      <c r="S4" s="27"/>
    </row>
    <row r="5" spans="1:19" x14ac:dyDescent="0.3">
      <c r="B5" s="11"/>
      <c r="D5" s="11"/>
      <c r="R5" s="27"/>
      <c r="S5" s="27"/>
    </row>
    <row r="6" spans="1:19" x14ac:dyDescent="0.3">
      <c r="B6" s="11"/>
      <c r="D6" s="11"/>
      <c r="R6" s="27"/>
      <c r="S6" s="27"/>
    </row>
    <row r="7" spans="1:19" x14ac:dyDescent="0.3">
      <c r="B7" s="11"/>
      <c r="D7" s="11"/>
      <c r="R7" s="27"/>
      <c r="S7" s="27"/>
    </row>
    <row r="8" spans="1:19" x14ac:dyDescent="0.3">
      <c r="B8" s="11"/>
      <c r="D8" s="11"/>
      <c r="R8" s="27"/>
      <c r="S8" s="27"/>
    </row>
    <row r="9" spans="1:19" x14ac:dyDescent="0.3">
      <c r="B9" s="11"/>
      <c r="D9" s="11"/>
      <c r="R9" s="27"/>
      <c r="S9" s="27"/>
    </row>
    <row r="10" spans="1:19" x14ac:dyDescent="0.3">
      <c r="B10" s="11"/>
      <c r="D10" s="11"/>
      <c r="R10" s="27"/>
      <c r="S10" s="27"/>
    </row>
    <row r="11" spans="1:19" x14ac:dyDescent="0.3">
      <c r="B11" s="11"/>
      <c r="D11" s="11"/>
      <c r="R11" s="27"/>
      <c r="S11" s="27"/>
    </row>
    <row r="12" spans="1:19" x14ac:dyDescent="0.3">
      <c r="B12" s="11"/>
      <c r="D12" s="11"/>
      <c r="R12" s="27"/>
      <c r="S12" s="27"/>
    </row>
    <row r="13" spans="1:19" x14ac:dyDescent="0.3">
      <c r="B13" s="11"/>
      <c r="D13" s="11"/>
      <c r="R13" s="27"/>
      <c r="S13" s="27"/>
    </row>
    <row r="14" spans="1:19" x14ac:dyDescent="0.3">
      <c r="B14" s="11"/>
      <c r="D14" s="11"/>
      <c r="R14" s="27"/>
      <c r="S14" s="27"/>
    </row>
    <row r="15" spans="1:19" x14ac:dyDescent="0.3">
      <c r="R15" s="27"/>
      <c r="S15" s="27"/>
    </row>
    <row r="16" spans="1:19" x14ac:dyDescent="0.3">
      <c r="R16" s="27"/>
      <c r="S16" s="27"/>
    </row>
    <row r="17" spans="18:19" x14ac:dyDescent="0.3">
      <c r="R17" s="27"/>
      <c r="S17" s="27"/>
    </row>
    <row r="18" spans="18:19" x14ac:dyDescent="0.3">
      <c r="R18" s="27"/>
      <c r="S18" s="27"/>
    </row>
    <row r="19" spans="18:19" x14ac:dyDescent="0.3">
      <c r="R19" s="27"/>
      <c r="S19" s="27"/>
    </row>
    <row r="20" spans="18:19" x14ac:dyDescent="0.3">
      <c r="R20" s="27"/>
      <c r="S20" s="27"/>
    </row>
    <row r="21" spans="18:19" x14ac:dyDescent="0.3">
      <c r="R21" s="27"/>
      <c r="S21" s="27"/>
    </row>
    <row r="22" spans="18:19" x14ac:dyDescent="0.3">
      <c r="R22" s="27"/>
      <c r="S22" s="27"/>
    </row>
    <row r="23" spans="18:19" x14ac:dyDescent="0.3">
      <c r="R23" s="27"/>
      <c r="S23" s="27"/>
    </row>
    <row r="24" spans="18:19" x14ac:dyDescent="0.3">
      <c r="R24" s="27"/>
      <c r="S24" s="27"/>
    </row>
    <row r="25" spans="18:19" x14ac:dyDescent="0.3">
      <c r="R25" s="27"/>
      <c r="S25" s="27"/>
    </row>
    <row r="26" spans="18:19" x14ac:dyDescent="0.3">
      <c r="R26" s="27"/>
      <c r="S26" s="27"/>
    </row>
    <row r="27" spans="18:19" x14ac:dyDescent="0.3">
      <c r="R27" s="27"/>
      <c r="S27" s="27"/>
    </row>
    <row r="28" spans="18:19" x14ac:dyDescent="0.3">
      <c r="R28" s="27"/>
      <c r="S28" s="27"/>
    </row>
    <row r="29" spans="18:19" x14ac:dyDescent="0.3">
      <c r="R29" s="27"/>
      <c r="S29" s="27"/>
    </row>
    <row r="30" spans="18:19" x14ac:dyDescent="0.3">
      <c r="R30" s="27"/>
      <c r="S30" s="27"/>
    </row>
    <row r="31" spans="18:19" x14ac:dyDescent="0.3">
      <c r="R31" s="27"/>
      <c r="S31" s="27"/>
    </row>
    <row r="32" spans="18:19" x14ac:dyDescent="0.3">
      <c r="R32" s="27"/>
      <c r="S32" s="27"/>
    </row>
    <row r="33" spans="18:19" x14ac:dyDescent="0.3">
      <c r="R33" s="27"/>
      <c r="S33" s="27"/>
    </row>
    <row r="34" spans="18:19" x14ac:dyDescent="0.3">
      <c r="R34" s="27"/>
      <c r="S34" s="27"/>
    </row>
    <row r="35" spans="18:19" x14ac:dyDescent="0.3">
      <c r="R35" s="27"/>
      <c r="S35" s="27"/>
    </row>
    <row r="36" spans="18:19" x14ac:dyDescent="0.3">
      <c r="R36" s="27"/>
      <c r="S36" s="27"/>
    </row>
    <row r="37" spans="18:19" x14ac:dyDescent="0.3">
      <c r="R37" s="27"/>
      <c r="S37" s="27"/>
    </row>
    <row r="38" spans="18:19" x14ac:dyDescent="0.3">
      <c r="R38" s="27"/>
      <c r="S38" s="27"/>
    </row>
    <row r="39" spans="18:19" x14ac:dyDescent="0.3">
      <c r="R39" s="34"/>
      <c r="S39" s="34"/>
    </row>
    <row r="40" spans="18:19" x14ac:dyDescent="0.3">
      <c r="R40" s="34"/>
      <c r="S40" s="34"/>
    </row>
    <row r="41" spans="18:19" x14ac:dyDescent="0.3">
      <c r="R41" s="34"/>
      <c r="S41" s="34"/>
    </row>
    <row r="42" spans="18:19" x14ac:dyDescent="0.3">
      <c r="R42" s="34"/>
      <c r="S42" s="34"/>
    </row>
    <row r="43" spans="18:19" x14ac:dyDescent="0.3">
      <c r="R43" s="34"/>
      <c r="S43" s="34"/>
    </row>
    <row r="44" spans="18:19" x14ac:dyDescent="0.3">
      <c r="R44" s="34"/>
      <c r="S44" s="34"/>
    </row>
    <row r="45" spans="18:19" x14ac:dyDescent="0.3">
      <c r="R45" s="34"/>
      <c r="S45" s="34"/>
    </row>
    <row r="46" spans="18:19" x14ac:dyDescent="0.3">
      <c r="R46" s="34"/>
      <c r="S46" s="34"/>
    </row>
    <row r="47" spans="18:19" x14ac:dyDescent="0.3">
      <c r="R47" s="34"/>
      <c r="S47" s="34"/>
    </row>
    <row r="48" spans="18:19" x14ac:dyDescent="0.3">
      <c r="R48" s="34"/>
      <c r="S48" s="34"/>
    </row>
    <row r="49" spans="18:19" x14ac:dyDescent="0.3">
      <c r="R49" s="34"/>
      <c r="S49" s="34"/>
    </row>
    <row r="50" spans="18:19" x14ac:dyDescent="0.3">
      <c r="R50" s="34"/>
      <c r="S50" s="34"/>
    </row>
    <row r="51" spans="18:19" x14ac:dyDescent="0.3">
      <c r="R51" s="34"/>
      <c r="S51" s="34"/>
    </row>
    <row r="52" spans="18:19" x14ac:dyDescent="0.3">
      <c r="R52" s="34"/>
      <c r="S52" s="34"/>
    </row>
    <row r="53" spans="18:19" x14ac:dyDescent="0.3">
      <c r="R53" s="34"/>
      <c r="S53" s="34"/>
    </row>
    <row r="54" spans="18:19" x14ac:dyDescent="0.3">
      <c r="R54" s="34"/>
      <c r="S54" s="34"/>
    </row>
    <row r="55" spans="18:19" x14ac:dyDescent="0.3">
      <c r="R55" s="34"/>
      <c r="S55" s="34"/>
    </row>
    <row r="56" spans="18:19" x14ac:dyDescent="0.3">
      <c r="R56" s="34"/>
      <c r="S56" s="34"/>
    </row>
    <row r="57" spans="18:19" x14ac:dyDescent="0.3">
      <c r="R57" s="34"/>
      <c r="S57" s="34"/>
    </row>
    <row r="58" spans="18:19" x14ac:dyDescent="0.3">
      <c r="R58" s="34"/>
      <c r="S58" s="34"/>
    </row>
    <row r="59" spans="18:19" x14ac:dyDescent="0.3">
      <c r="R59" s="34"/>
      <c r="S59" s="34"/>
    </row>
    <row r="60" spans="18:19" x14ac:dyDescent="0.3">
      <c r="R60" s="34"/>
      <c r="S60" s="34"/>
    </row>
    <row r="61" spans="18:19" x14ac:dyDescent="0.3">
      <c r="R61" s="34"/>
      <c r="S61" s="34"/>
    </row>
    <row r="62" spans="18:19" x14ac:dyDescent="0.3">
      <c r="R62" s="34"/>
      <c r="S62" s="34"/>
    </row>
    <row r="63" spans="18:19" x14ac:dyDescent="0.3">
      <c r="R63" s="34"/>
      <c r="S63" s="34"/>
    </row>
    <row r="64" spans="18:19" x14ac:dyDescent="0.3">
      <c r="R64" s="34"/>
      <c r="S64" s="34"/>
    </row>
    <row r="65" spans="18:19" x14ac:dyDescent="0.3">
      <c r="R65" s="34"/>
      <c r="S65" s="34"/>
    </row>
    <row r="66" spans="18:19" x14ac:dyDescent="0.3">
      <c r="R66" s="34"/>
      <c r="S66" s="34"/>
    </row>
    <row r="67" spans="18:19" x14ac:dyDescent="0.3">
      <c r="R67" s="34"/>
      <c r="S67" s="34"/>
    </row>
    <row r="68" spans="18:19" x14ac:dyDescent="0.3">
      <c r="R68" s="34"/>
      <c r="S68" s="34"/>
    </row>
    <row r="69" spans="18:19" x14ac:dyDescent="0.3">
      <c r="R69" s="34"/>
      <c r="S69" s="34"/>
    </row>
    <row r="70" spans="18:19" x14ac:dyDescent="0.3">
      <c r="R70" s="34"/>
      <c r="S70" s="34"/>
    </row>
    <row r="71" spans="18:19" x14ac:dyDescent="0.3">
      <c r="R71" s="34"/>
      <c r="S71" s="34"/>
    </row>
    <row r="72" spans="18:19" x14ac:dyDescent="0.3">
      <c r="R72" s="34"/>
      <c r="S72" s="34"/>
    </row>
    <row r="73" spans="18:19" x14ac:dyDescent="0.3">
      <c r="R73" s="34"/>
      <c r="S73" s="34"/>
    </row>
    <row r="74" spans="18:19" x14ac:dyDescent="0.3">
      <c r="R74" s="34"/>
      <c r="S74" s="34"/>
    </row>
    <row r="75" spans="18:19" x14ac:dyDescent="0.3">
      <c r="R75" s="34"/>
      <c r="S75" s="34"/>
    </row>
    <row r="76" spans="18:19" x14ac:dyDescent="0.3">
      <c r="R76" s="34"/>
      <c r="S76" s="34"/>
    </row>
    <row r="77" spans="18:19" x14ac:dyDescent="0.3">
      <c r="R77" s="34"/>
      <c r="S77" s="34"/>
    </row>
    <row r="78" spans="18:19" x14ac:dyDescent="0.3">
      <c r="R78" s="34"/>
      <c r="S78" s="34"/>
    </row>
    <row r="79" spans="18:19" x14ac:dyDescent="0.3">
      <c r="R79" s="34"/>
      <c r="S79" s="34"/>
    </row>
    <row r="80" spans="18:19" x14ac:dyDescent="0.3">
      <c r="R80" s="34"/>
      <c r="S80" s="34"/>
    </row>
    <row r="81" spans="18:19" x14ac:dyDescent="0.3">
      <c r="R81" s="34"/>
      <c r="S81" s="34"/>
    </row>
    <row r="82" spans="18:19" x14ac:dyDescent="0.3">
      <c r="R82" s="34"/>
      <c r="S82" s="34"/>
    </row>
    <row r="83" spans="18:19" x14ac:dyDescent="0.3">
      <c r="R83" s="34"/>
      <c r="S83" s="34"/>
    </row>
    <row r="84" spans="18:19" x14ac:dyDescent="0.3">
      <c r="R84" s="34"/>
      <c r="S84" s="34"/>
    </row>
    <row r="85" spans="18:19" x14ac:dyDescent="0.3">
      <c r="R85" s="34"/>
      <c r="S85" s="34"/>
    </row>
    <row r="86" spans="18:19" x14ac:dyDescent="0.3">
      <c r="R86" s="34"/>
      <c r="S86" s="34"/>
    </row>
    <row r="87" spans="18:19" x14ac:dyDescent="0.3">
      <c r="R87" s="34"/>
      <c r="S87" s="34"/>
    </row>
    <row r="88" spans="18:19" x14ac:dyDescent="0.3">
      <c r="R88" s="34"/>
      <c r="S88" s="34"/>
    </row>
    <row r="89" spans="18:19" x14ac:dyDescent="0.3">
      <c r="R89" s="34"/>
      <c r="S89" s="34"/>
    </row>
    <row r="90" spans="18:19" x14ac:dyDescent="0.3">
      <c r="R90" s="34"/>
      <c r="S90" s="34"/>
    </row>
    <row r="91" spans="18:19" x14ac:dyDescent="0.3">
      <c r="R91" s="34"/>
      <c r="S91" s="34"/>
    </row>
    <row r="92" spans="18:19" x14ac:dyDescent="0.3">
      <c r="R92" s="34"/>
      <c r="S92" s="34"/>
    </row>
    <row r="93" spans="18:19" x14ac:dyDescent="0.3">
      <c r="R93" s="34"/>
      <c r="S93" s="34"/>
    </row>
    <row r="94" spans="18:19" x14ac:dyDescent="0.3">
      <c r="R94" s="34"/>
      <c r="S94" s="34"/>
    </row>
    <row r="95" spans="18:19" x14ac:dyDescent="0.3">
      <c r="R95" s="34"/>
      <c r="S95" s="34"/>
    </row>
    <row r="96" spans="18:19" x14ac:dyDescent="0.3">
      <c r="R96" s="34"/>
      <c r="S96" s="34"/>
    </row>
    <row r="97" spans="18:19" x14ac:dyDescent="0.3">
      <c r="R97" s="34"/>
      <c r="S97" s="34"/>
    </row>
    <row r="98" spans="18:19" x14ac:dyDescent="0.3">
      <c r="R98" s="34"/>
      <c r="S98" s="34"/>
    </row>
    <row r="99" spans="18:19" x14ac:dyDescent="0.3">
      <c r="R99" s="34"/>
      <c r="S99" s="34"/>
    </row>
    <row r="100" spans="18:19" x14ac:dyDescent="0.3">
      <c r="R100" s="34"/>
      <c r="S100" s="34"/>
    </row>
    <row r="101" spans="18:19" x14ac:dyDescent="0.3">
      <c r="R101" s="34"/>
      <c r="S101" s="34"/>
    </row>
    <row r="102" spans="18:19" x14ac:dyDescent="0.3">
      <c r="R102" s="34"/>
      <c r="S102" s="34"/>
    </row>
    <row r="103" spans="18:19" x14ac:dyDescent="0.3">
      <c r="R103" s="34"/>
      <c r="S103" s="34"/>
    </row>
    <row r="104" spans="18:19" x14ac:dyDescent="0.3">
      <c r="R104" s="34"/>
      <c r="S104" s="34"/>
    </row>
    <row r="105" spans="18:19" x14ac:dyDescent="0.3">
      <c r="R105" s="34"/>
      <c r="S105" s="34"/>
    </row>
    <row r="106" spans="18:19" x14ac:dyDescent="0.3">
      <c r="R106" s="34"/>
      <c r="S106" s="34"/>
    </row>
    <row r="107" spans="18:19" x14ac:dyDescent="0.3">
      <c r="R107" s="34"/>
      <c r="S107" s="34"/>
    </row>
    <row r="108" spans="18:19" x14ac:dyDescent="0.3">
      <c r="R108" s="34"/>
      <c r="S108" s="34"/>
    </row>
    <row r="109" spans="18:19" x14ac:dyDescent="0.3">
      <c r="R109" s="34"/>
      <c r="S109" s="34"/>
    </row>
    <row r="110" spans="18:19" x14ac:dyDescent="0.3">
      <c r="R110" s="34"/>
      <c r="S110" s="34"/>
    </row>
    <row r="111" spans="18:19" x14ac:dyDescent="0.3">
      <c r="R111" s="34"/>
      <c r="S111" s="34"/>
    </row>
    <row r="112" spans="18:19" x14ac:dyDescent="0.3">
      <c r="R112" s="34"/>
      <c r="S112" s="34"/>
    </row>
    <row r="113" spans="18:19" x14ac:dyDescent="0.3">
      <c r="R113" s="34"/>
      <c r="S113" s="34"/>
    </row>
    <row r="114" spans="18:19" x14ac:dyDescent="0.3">
      <c r="R114" s="34"/>
      <c r="S114" s="34"/>
    </row>
    <row r="115" spans="18:19" x14ac:dyDescent="0.3">
      <c r="R115" s="34"/>
      <c r="S115" s="34"/>
    </row>
    <row r="116" spans="18:19" x14ac:dyDescent="0.3">
      <c r="R116" s="34"/>
      <c r="S116" s="34"/>
    </row>
    <row r="117" spans="18:19" x14ac:dyDescent="0.3">
      <c r="R117" s="34"/>
      <c r="S117" s="34"/>
    </row>
    <row r="118" spans="18:19" x14ac:dyDescent="0.3">
      <c r="R118" s="34"/>
      <c r="S118" s="34"/>
    </row>
    <row r="119" spans="18:19" x14ac:dyDescent="0.3">
      <c r="R119" s="34"/>
      <c r="S119" s="34"/>
    </row>
    <row r="120" spans="18:19" x14ac:dyDescent="0.3">
      <c r="R120" s="34"/>
      <c r="S120" s="34"/>
    </row>
    <row r="121" spans="18:19" x14ac:dyDescent="0.3">
      <c r="R121" s="34"/>
      <c r="S121" s="34"/>
    </row>
    <row r="122" spans="18:19" x14ac:dyDescent="0.3">
      <c r="R122" s="34"/>
      <c r="S122" s="34"/>
    </row>
    <row r="123" spans="18:19" x14ac:dyDescent="0.3">
      <c r="R123" s="34"/>
      <c r="S123" s="34"/>
    </row>
    <row r="124" spans="18:19" x14ac:dyDescent="0.3">
      <c r="R124" s="34"/>
      <c r="S124" s="34"/>
    </row>
    <row r="125" spans="18:19" x14ac:dyDescent="0.3">
      <c r="R125" s="34"/>
      <c r="S125" s="34"/>
    </row>
    <row r="126" spans="18:19" x14ac:dyDescent="0.3">
      <c r="R126" s="34"/>
      <c r="S126" s="34"/>
    </row>
    <row r="127" spans="18:19" x14ac:dyDescent="0.3">
      <c r="R127" s="34"/>
      <c r="S127" s="34"/>
    </row>
    <row r="128" spans="18:19" x14ac:dyDescent="0.3">
      <c r="R128" s="34"/>
      <c r="S128" s="34"/>
    </row>
    <row r="129" spans="18:19" x14ac:dyDescent="0.3">
      <c r="R129" s="34"/>
      <c r="S129" s="34"/>
    </row>
    <row r="130" spans="18:19" x14ac:dyDescent="0.3">
      <c r="R130" s="34"/>
      <c r="S130" s="34"/>
    </row>
    <row r="131" spans="18:19" x14ac:dyDescent="0.3">
      <c r="R131" s="34"/>
      <c r="S131" s="34"/>
    </row>
    <row r="132" spans="18:19" x14ac:dyDescent="0.3">
      <c r="R132" s="34"/>
      <c r="S132" s="34"/>
    </row>
    <row r="133" spans="18:19" x14ac:dyDescent="0.3">
      <c r="R133" s="34"/>
      <c r="S133" s="34"/>
    </row>
    <row r="134" spans="18:19" x14ac:dyDescent="0.3">
      <c r="R134" s="34"/>
      <c r="S134" s="34"/>
    </row>
    <row r="135" spans="18:19" x14ac:dyDescent="0.3">
      <c r="R135" s="34"/>
      <c r="S135" s="34"/>
    </row>
    <row r="136" spans="18:19" x14ac:dyDescent="0.3">
      <c r="R136" s="34"/>
      <c r="S136" s="34"/>
    </row>
    <row r="137" spans="18:19" x14ac:dyDescent="0.3">
      <c r="R137" s="34"/>
      <c r="S137" s="34"/>
    </row>
    <row r="138" spans="18:19" x14ac:dyDescent="0.3">
      <c r="R138" s="34"/>
      <c r="S138" s="34"/>
    </row>
    <row r="139" spans="18:19" x14ac:dyDescent="0.3">
      <c r="R139" s="34"/>
      <c r="S139" s="34"/>
    </row>
    <row r="140" spans="18:19" x14ac:dyDescent="0.3">
      <c r="R140" s="34"/>
      <c r="S140" s="34"/>
    </row>
    <row r="141" spans="18:19" x14ac:dyDescent="0.3">
      <c r="R141" s="34"/>
      <c r="S141" s="34"/>
    </row>
    <row r="142" spans="18:19" x14ac:dyDescent="0.3">
      <c r="R142" s="34"/>
      <c r="S142" s="34"/>
    </row>
    <row r="143" spans="18:19" x14ac:dyDescent="0.3">
      <c r="R143" s="34"/>
      <c r="S143" s="34"/>
    </row>
    <row r="144" spans="18:19" x14ac:dyDescent="0.3">
      <c r="R144" s="34"/>
      <c r="S144" s="34"/>
    </row>
    <row r="145" spans="18:19" x14ac:dyDescent="0.3">
      <c r="R145" s="34"/>
      <c r="S145" s="34"/>
    </row>
    <row r="146" spans="18:19" x14ac:dyDescent="0.3">
      <c r="R146" s="34"/>
      <c r="S146" s="34"/>
    </row>
    <row r="147" spans="18:19" x14ac:dyDescent="0.3">
      <c r="R147" s="34"/>
      <c r="S147" s="34"/>
    </row>
    <row r="148" spans="18:19" x14ac:dyDescent="0.3">
      <c r="R148" s="34"/>
      <c r="S148" s="34"/>
    </row>
    <row r="149" spans="18:19" x14ac:dyDescent="0.3">
      <c r="R149" s="34"/>
      <c r="S149" s="34"/>
    </row>
    <row r="150" spans="18:19" x14ac:dyDescent="0.3">
      <c r="R150" s="34"/>
      <c r="S150" s="34"/>
    </row>
    <row r="151" spans="18:19" x14ac:dyDescent="0.3">
      <c r="R151" s="34"/>
      <c r="S151" s="34"/>
    </row>
    <row r="152" spans="18:19" x14ac:dyDescent="0.3">
      <c r="R152" s="34"/>
      <c r="S152" s="34"/>
    </row>
    <row r="153" spans="18:19" x14ac:dyDescent="0.3">
      <c r="R153" s="34"/>
      <c r="S153" s="34"/>
    </row>
    <row r="154" spans="18:19" x14ac:dyDescent="0.3">
      <c r="R154" s="34"/>
      <c r="S154" s="34"/>
    </row>
    <row r="155" spans="18:19" x14ac:dyDescent="0.3">
      <c r="R155" s="34"/>
      <c r="S155" s="34"/>
    </row>
    <row r="156" spans="18:19" x14ac:dyDescent="0.3">
      <c r="R156" s="34"/>
      <c r="S156" s="34"/>
    </row>
    <row r="157" spans="18:19" x14ac:dyDescent="0.3">
      <c r="R157" s="34"/>
      <c r="S157" s="34"/>
    </row>
    <row r="158" spans="18:19" x14ac:dyDescent="0.3">
      <c r="R158" s="34"/>
      <c r="S158" s="34"/>
    </row>
    <row r="159" spans="18:19" x14ac:dyDescent="0.3">
      <c r="R159" s="34"/>
      <c r="S159" s="34"/>
    </row>
    <row r="160" spans="18:19" x14ac:dyDescent="0.3">
      <c r="R160" s="34"/>
      <c r="S160" s="34"/>
    </row>
    <row r="161" spans="18:19" x14ac:dyDescent="0.3">
      <c r="R161" s="34"/>
      <c r="S161" s="34"/>
    </row>
    <row r="162" spans="18:19" x14ac:dyDescent="0.3">
      <c r="R162" s="34"/>
      <c r="S162" s="34"/>
    </row>
    <row r="163" spans="18:19" x14ac:dyDescent="0.3">
      <c r="R163" s="34"/>
      <c r="S163" s="34"/>
    </row>
    <row r="164" spans="18:19" x14ac:dyDescent="0.3">
      <c r="R164" s="34"/>
      <c r="S164" s="34"/>
    </row>
    <row r="165" spans="18:19" x14ac:dyDescent="0.3">
      <c r="R165" s="34"/>
      <c r="S165" s="34"/>
    </row>
    <row r="166" spans="18:19" x14ac:dyDescent="0.3">
      <c r="R166" s="34"/>
      <c r="S166" s="34"/>
    </row>
    <row r="167" spans="18:19" x14ac:dyDescent="0.3">
      <c r="R167" s="34"/>
      <c r="S167" s="34"/>
    </row>
    <row r="168" spans="18:19" x14ac:dyDescent="0.3">
      <c r="R168" s="34"/>
      <c r="S168" s="34"/>
    </row>
    <row r="169" spans="18:19" x14ac:dyDescent="0.3">
      <c r="R169" s="34"/>
      <c r="S169" s="34"/>
    </row>
    <row r="170" spans="18:19" x14ac:dyDescent="0.3">
      <c r="R170" s="34"/>
      <c r="S170" s="34"/>
    </row>
    <row r="171" spans="18:19" x14ac:dyDescent="0.3">
      <c r="R171" s="34"/>
      <c r="S171" s="34"/>
    </row>
    <row r="172" spans="18:19" x14ac:dyDescent="0.3">
      <c r="R172" s="34"/>
      <c r="S172" s="34"/>
    </row>
    <row r="173" spans="18:19" x14ac:dyDescent="0.3">
      <c r="R173" s="34"/>
      <c r="S173" s="34"/>
    </row>
    <row r="174" spans="18:19" x14ac:dyDescent="0.3">
      <c r="R174" s="34"/>
      <c r="S174" s="34"/>
    </row>
    <row r="175" spans="18:19" x14ac:dyDescent="0.3">
      <c r="R175" s="34"/>
      <c r="S175" s="34"/>
    </row>
    <row r="176" spans="18:19" x14ac:dyDescent="0.3">
      <c r="R176" s="34"/>
      <c r="S176" s="34"/>
    </row>
    <row r="177" spans="18:19" x14ac:dyDescent="0.3">
      <c r="R177" s="34"/>
      <c r="S177" s="34"/>
    </row>
    <row r="178" spans="18:19" x14ac:dyDescent="0.3">
      <c r="R178" s="34"/>
      <c r="S178" s="34"/>
    </row>
    <row r="179" spans="18:19" x14ac:dyDescent="0.3">
      <c r="R179" s="34"/>
      <c r="S179" s="34"/>
    </row>
    <row r="180" spans="18:19" x14ac:dyDescent="0.3">
      <c r="R180" s="34"/>
      <c r="S180" s="34"/>
    </row>
    <row r="181" spans="18:19" x14ac:dyDescent="0.3">
      <c r="R181" s="34"/>
      <c r="S181" s="34"/>
    </row>
    <row r="182" spans="18:19" x14ac:dyDescent="0.3">
      <c r="R182" s="34"/>
      <c r="S182" s="34"/>
    </row>
    <row r="183" spans="18:19" x14ac:dyDescent="0.3">
      <c r="R183" s="34"/>
      <c r="S183" s="34"/>
    </row>
    <row r="184" spans="18:19" x14ac:dyDescent="0.3">
      <c r="R184" s="34"/>
      <c r="S184" s="34"/>
    </row>
    <row r="185" spans="18:19" x14ac:dyDescent="0.3">
      <c r="R185" s="34"/>
      <c r="S185" s="34"/>
    </row>
    <row r="186" spans="18:19" x14ac:dyDescent="0.3">
      <c r="R186" s="34"/>
      <c r="S186" s="34"/>
    </row>
    <row r="187" spans="18:19" x14ac:dyDescent="0.3">
      <c r="R187" s="34"/>
      <c r="S187" s="34"/>
    </row>
    <row r="188" spans="18:19" x14ac:dyDescent="0.3">
      <c r="R188" s="34"/>
      <c r="S188" s="34"/>
    </row>
    <row r="189" spans="18:19" x14ac:dyDescent="0.3">
      <c r="R189" s="34"/>
      <c r="S189" s="34"/>
    </row>
    <row r="190" spans="18:19" x14ac:dyDescent="0.3">
      <c r="R190" s="34"/>
      <c r="S190" s="34"/>
    </row>
    <row r="191" spans="18:19" x14ac:dyDescent="0.3">
      <c r="R191" s="34"/>
      <c r="S191" s="34"/>
    </row>
    <row r="192" spans="18:19" x14ac:dyDescent="0.3">
      <c r="R192" s="34"/>
      <c r="S192" s="34"/>
    </row>
    <row r="193" spans="18:19" x14ac:dyDescent="0.3">
      <c r="R193" s="34"/>
      <c r="S193" s="34"/>
    </row>
    <row r="194" spans="18:19" x14ac:dyDescent="0.3">
      <c r="R194" s="34"/>
      <c r="S194" s="34"/>
    </row>
    <row r="195" spans="18:19" x14ac:dyDescent="0.3">
      <c r="R195" s="34"/>
      <c r="S195" s="34"/>
    </row>
    <row r="196" spans="18:19" x14ac:dyDescent="0.3">
      <c r="R196" s="34"/>
      <c r="S196" s="34"/>
    </row>
    <row r="197" spans="18:19" x14ac:dyDescent="0.3">
      <c r="R197" s="34"/>
      <c r="S197" s="34"/>
    </row>
    <row r="198" spans="18:19" x14ac:dyDescent="0.3">
      <c r="R198" s="34"/>
      <c r="S198" s="34"/>
    </row>
    <row r="199" spans="18:19" x14ac:dyDescent="0.3">
      <c r="R199" s="34"/>
      <c r="S199" s="34"/>
    </row>
    <row r="200" spans="18:19" x14ac:dyDescent="0.3">
      <c r="R200" s="34"/>
      <c r="S200" s="34"/>
    </row>
    <row r="201" spans="18:19" x14ac:dyDescent="0.3">
      <c r="R201" s="34"/>
      <c r="S201" s="34"/>
    </row>
    <row r="202" spans="18:19" x14ac:dyDescent="0.3">
      <c r="R202" s="34"/>
      <c r="S202" s="34"/>
    </row>
    <row r="203" spans="18:19" x14ac:dyDescent="0.3">
      <c r="R203" s="34"/>
      <c r="S203" s="34"/>
    </row>
    <row r="204" spans="18:19" x14ac:dyDescent="0.3">
      <c r="R204" s="34"/>
      <c r="S204" s="34"/>
    </row>
    <row r="205" spans="18:19" x14ac:dyDescent="0.3">
      <c r="R205" s="34"/>
      <c r="S205" s="34"/>
    </row>
    <row r="206" spans="18:19" x14ac:dyDescent="0.3">
      <c r="R206" s="34"/>
      <c r="S206" s="34"/>
    </row>
    <row r="207" spans="18:19" x14ac:dyDescent="0.3">
      <c r="R207" s="34"/>
      <c r="S207" s="34"/>
    </row>
    <row r="208" spans="18:19" x14ac:dyDescent="0.3">
      <c r="R208" s="34"/>
      <c r="S208" s="34"/>
    </row>
    <row r="209" spans="18:19" x14ac:dyDescent="0.3">
      <c r="R209" s="34"/>
      <c r="S209" s="34"/>
    </row>
    <row r="210" spans="18:19" x14ac:dyDescent="0.3">
      <c r="R210" s="34"/>
      <c r="S210" s="34"/>
    </row>
    <row r="211" spans="18:19" x14ac:dyDescent="0.3">
      <c r="R211" s="34"/>
      <c r="S211" s="34"/>
    </row>
    <row r="212" spans="18:19" x14ac:dyDescent="0.3">
      <c r="R212" s="34"/>
      <c r="S212" s="34"/>
    </row>
    <row r="213" spans="18:19" x14ac:dyDescent="0.3">
      <c r="R213" s="34"/>
      <c r="S213" s="34"/>
    </row>
    <row r="214" spans="18:19" x14ac:dyDescent="0.3">
      <c r="R214" s="34"/>
      <c r="S214" s="34"/>
    </row>
    <row r="215" spans="18:19" x14ac:dyDescent="0.3">
      <c r="R215" s="34"/>
      <c r="S215" s="34"/>
    </row>
    <row r="216" spans="18:19" x14ac:dyDescent="0.3">
      <c r="R216" s="34"/>
      <c r="S216" s="34"/>
    </row>
    <row r="217" spans="18:19" x14ac:dyDescent="0.3">
      <c r="R217" s="34"/>
      <c r="S217" s="34"/>
    </row>
    <row r="218" spans="18:19" x14ac:dyDescent="0.3">
      <c r="R218" s="34"/>
      <c r="S218" s="34"/>
    </row>
    <row r="219" spans="18:19" x14ac:dyDescent="0.3">
      <c r="R219" s="34"/>
      <c r="S219" s="34"/>
    </row>
    <row r="220" spans="18:19" x14ac:dyDescent="0.3">
      <c r="R220" s="34"/>
      <c r="S220" s="34"/>
    </row>
    <row r="221" spans="18:19" x14ac:dyDescent="0.3">
      <c r="R221" s="34"/>
      <c r="S221" s="34"/>
    </row>
    <row r="222" spans="18:19" x14ac:dyDescent="0.3">
      <c r="R222" s="34"/>
      <c r="S222" s="34"/>
    </row>
    <row r="223" spans="18:19" x14ac:dyDescent="0.3">
      <c r="R223" s="34"/>
      <c r="S223" s="34"/>
    </row>
    <row r="224" spans="18:19" x14ac:dyDescent="0.3">
      <c r="R224" s="34"/>
      <c r="S224" s="34"/>
    </row>
    <row r="225" spans="18:19" x14ac:dyDescent="0.3">
      <c r="R225" s="34"/>
      <c r="S225" s="34"/>
    </row>
    <row r="226" spans="18:19" x14ac:dyDescent="0.3">
      <c r="R226" s="34"/>
      <c r="S226" s="34"/>
    </row>
    <row r="227" spans="18:19" x14ac:dyDescent="0.3">
      <c r="R227" s="34"/>
      <c r="S227" s="34"/>
    </row>
    <row r="228" spans="18:19" x14ac:dyDescent="0.3">
      <c r="R228" s="34"/>
      <c r="S228" s="34"/>
    </row>
    <row r="229" spans="18:19" x14ac:dyDescent="0.3">
      <c r="R229" s="34"/>
      <c r="S229" s="34"/>
    </row>
    <row r="230" spans="18:19" x14ac:dyDescent="0.3">
      <c r="R230" s="34"/>
      <c r="S230" s="34"/>
    </row>
    <row r="231" spans="18:19" x14ac:dyDescent="0.3">
      <c r="R231" s="34"/>
      <c r="S231" s="34"/>
    </row>
    <row r="232" spans="18:19" x14ac:dyDescent="0.3">
      <c r="R232" s="34"/>
      <c r="S232" s="34"/>
    </row>
    <row r="233" spans="18:19" x14ac:dyDescent="0.3">
      <c r="R233" s="34"/>
      <c r="S233" s="34"/>
    </row>
    <row r="234" spans="18:19" x14ac:dyDescent="0.3">
      <c r="R234" s="34"/>
      <c r="S234" s="34"/>
    </row>
    <row r="235" spans="18:19" x14ac:dyDescent="0.3">
      <c r="R235" s="34"/>
      <c r="S235" s="34"/>
    </row>
    <row r="236" spans="18:19" x14ac:dyDescent="0.3">
      <c r="R236" s="34"/>
      <c r="S236" s="34"/>
    </row>
    <row r="237" spans="18:19" x14ac:dyDescent="0.3">
      <c r="R237" s="34"/>
      <c r="S237" s="34"/>
    </row>
    <row r="238" spans="18:19" x14ac:dyDescent="0.3">
      <c r="R238" s="34"/>
      <c r="S238" s="34"/>
    </row>
    <row r="239" spans="18:19" x14ac:dyDescent="0.3">
      <c r="R239" s="34"/>
      <c r="S239" s="34"/>
    </row>
    <row r="240" spans="18:19" x14ac:dyDescent="0.3">
      <c r="R240" s="34"/>
      <c r="S240" s="34"/>
    </row>
    <row r="241" spans="18:19" x14ac:dyDescent="0.3">
      <c r="R241" s="34"/>
      <c r="S241" s="34"/>
    </row>
    <row r="242" spans="18:19" x14ac:dyDescent="0.3">
      <c r="R242" s="34"/>
      <c r="S242" s="34"/>
    </row>
    <row r="243" spans="18:19" x14ac:dyDescent="0.3">
      <c r="R243" s="34"/>
      <c r="S243" s="34"/>
    </row>
    <row r="244" spans="18:19" x14ac:dyDescent="0.3">
      <c r="R244" s="34"/>
      <c r="S244" s="34"/>
    </row>
    <row r="245" spans="18:19" x14ac:dyDescent="0.3">
      <c r="R245" s="34"/>
      <c r="S245" s="34"/>
    </row>
    <row r="246" spans="18:19" x14ac:dyDescent="0.3">
      <c r="R246" s="34"/>
      <c r="S246" s="34"/>
    </row>
    <row r="247" spans="18:19" x14ac:dyDescent="0.3">
      <c r="R247" s="34"/>
      <c r="S247" s="34"/>
    </row>
    <row r="248" spans="18:19" x14ac:dyDescent="0.3">
      <c r="R248" s="34"/>
      <c r="S248" s="34"/>
    </row>
    <row r="249" spans="18:19" x14ac:dyDescent="0.3">
      <c r="R249" s="34"/>
      <c r="S249" s="34"/>
    </row>
    <row r="250" spans="18:19" x14ac:dyDescent="0.3">
      <c r="R250" s="34"/>
      <c r="S250" s="34"/>
    </row>
    <row r="251" spans="18:19" x14ac:dyDescent="0.3">
      <c r="R251" s="34"/>
      <c r="S251" s="34"/>
    </row>
    <row r="252" spans="18:19" x14ac:dyDescent="0.3">
      <c r="R252" s="34"/>
      <c r="S252" s="34"/>
    </row>
    <row r="253" spans="18:19" x14ac:dyDescent="0.3">
      <c r="R253" s="34"/>
      <c r="S253" s="34"/>
    </row>
    <row r="254" spans="18:19" x14ac:dyDescent="0.3">
      <c r="R254" s="34"/>
      <c r="S254" s="34"/>
    </row>
    <row r="255" spans="18:19" x14ac:dyDescent="0.3">
      <c r="R255" s="34"/>
      <c r="S255" s="34"/>
    </row>
    <row r="256" spans="18:19" x14ac:dyDescent="0.3">
      <c r="R256" s="34"/>
      <c r="S256" s="34"/>
    </row>
    <row r="257" spans="18:19" x14ac:dyDescent="0.3">
      <c r="R257" s="34"/>
      <c r="S257" s="34"/>
    </row>
    <row r="258" spans="18:19" x14ac:dyDescent="0.3">
      <c r="R258" s="34"/>
      <c r="S258" s="34"/>
    </row>
    <row r="259" spans="18:19" x14ac:dyDescent="0.3">
      <c r="R259" s="34"/>
      <c r="S259" s="34"/>
    </row>
    <row r="260" spans="18:19" x14ac:dyDescent="0.3">
      <c r="R260" s="34"/>
      <c r="S260" s="34"/>
    </row>
    <row r="261" spans="18:19" x14ac:dyDescent="0.3">
      <c r="R261" s="34"/>
      <c r="S261" s="34"/>
    </row>
    <row r="262" spans="18:19" x14ac:dyDescent="0.3">
      <c r="R262" s="34"/>
      <c r="S262" s="34"/>
    </row>
    <row r="263" spans="18:19" x14ac:dyDescent="0.3">
      <c r="R263" s="34"/>
      <c r="S263" s="34"/>
    </row>
    <row r="264" spans="18:19" x14ac:dyDescent="0.3">
      <c r="R264" s="34"/>
      <c r="S264" s="34"/>
    </row>
    <row r="265" spans="18:19" x14ac:dyDescent="0.3">
      <c r="R265" s="34"/>
      <c r="S265" s="34"/>
    </row>
    <row r="266" spans="18:19" x14ac:dyDescent="0.3">
      <c r="R266" s="34"/>
      <c r="S266" s="34"/>
    </row>
    <row r="267" spans="18:19" x14ac:dyDescent="0.3">
      <c r="R267" s="34"/>
      <c r="S267" s="34"/>
    </row>
    <row r="268" spans="18:19" x14ac:dyDescent="0.3">
      <c r="R268" s="34"/>
      <c r="S268" s="34"/>
    </row>
    <row r="269" spans="18:19" x14ac:dyDescent="0.3">
      <c r="R269" s="34"/>
      <c r="S269" s="34"/>
    </row>
    <row r="270" spans="18:19" x14ac:dyDescent="0.3">
      <c r="R270" s="34"/>
      <c r="S270" s="34"/>
    </row>
    <row r="271" spans="18:19" x14ac:dyDescent="0.3">
      <c r="R271" s="34"/>
      <c r="S271" s="34"/>
    </row>
    <row r="272" spans="18:19" x14ac:dyDescent="0.3">
      <c r="R272" s="34"/>
      <c r="S272" s="34"/>
    </row>
    <row r="273" spans="18:19" x14ac:dyDescent="0.3">
      <c r="R273" s="34"/>
      <c r="S273" s="34"/>
    </row>
    <row r="274" spans="18:19" x14ac:dyDescent="0.3">
      <c r="R274" s="34"/>
      <c r="S274" s="34"/>
    </row>
    <row r="275" spans="18:19" x14ac:dyDescent="0.3">
      <c r="R275" s="34"/>
      <c r="S275" s="34"/>
    </row>
    <row r="276" spans="18:19" x14ac:dyDescent="0.3">
      <c r="R276" s="34"/>
      <c r="S276" s="34"/>
    </row>
    <row r="277" spans="18:19" x14ac:dyDescent="0.3">
      <c r="R277" s="34"/>
      <c r="S277" s="34"/>
    </row>
    <row r="278" spans="18:19" x14ac:dyDescent="0.3">
      <c r="R278" s="34"/>
      <c r="S278" s="34"/>
    </row>
    <row r="279" spans="18:19" x14ac:dyDescent="0.3">
      <c r="R279" s="34"/>
      <c r="S279" s="34"/>
    </row>
    <row r="280" spans="18:19" x14ac:dyDescent="0.3">
      <c r="R280" s="34"/>
      <c r="S280" s="34"/>
    </row>
    <row r="281" spans="18:19" x14ac:dyDescent="0.3">
      <c r="R281" s="34"/>
      <c r="S281" s="34"/>
    </row>
    <row r="282" spans="18:19" x14ac:dyDescent="0.3">
      <c r="R282" s="34"/>
      <c r="S282" s="34"/>
    </row>
    <row r="283" spans="18:19" x14ac:dyDescent="0.3">
      <c r="R283" s="34"/>
      <c r="S283" s="34"/>
    </row>
    <row r="284" spans="18:19" x14ac:dyDescent="0.3">
      <c r="R284" s="34"/>
      <c r="S284" s="34"/>
    </row>
    <row r="285" spans="18:19" x14ac:dyDescent="0.3">
      <c r="R285" s="34"/>
      <c r="S285" s="34"/>
    </row>
    <row r="286" spans="18:19" x14ac:dyDescent="0.3">
      <c r="R286" s="34"/>
      <c r="S286" s="34"/>
    </row>
    <row r="287" spans="18:19" x14ac:dyDescent="0.3">
      <c r="R287" s="34"/>
      <c r="S287" s="34"/>
    </row>
    <row r="288" spans="18:19" x14ac:dyDescent="0.3">
      <c r="R288" s="34"/>
      <c r="S288" s="34"/>
    </row>
    <row r="289" spans="18:19" x14ac:dyDescent="0.3">
      <c r="R289" s="34"/>
      <c r="S289" s="34"/>
    </row>
    <row r="290" spans="18:19" x14ac:dyDescent="0.3">
      <c r="R290" s="34"/>
      <c r="S290" s="34"/>
    </row>
    <row r="291" spans="18:19" x14ac:dyDescent="0.3">
      <c r="R291" s="34"/>
      <c r="S291" s="34"/>
    </row>
    <row r="292" spans="18:19" x14ac:dyDescent="0.3">
      <c r="R292" s="34"/>
      <c r="S292" s="34"/>
    </row>
    <row r="293" spans="18:19" x14ac:dyDescent="0.3">
      <c r="R293" s="34"/>
      <c r="S293" s="34"/>
    </row>
    <row r="294" spans="18:19" x14ac:dyDescent="0.3">
      <c r="R294" s="34"/>
      <c r="S294" s="34"/>
    </row>
    <row r="295" spans="18:19" x14ac:dyDescent="0.3">
      <c r="R295" s="34"/>
      <c r="S295" s="34"/>
    </row>
    <row r="296" spans="18:19" x14ac:dyDescent="0.3">
      <c r="R296" s="34"/>
      <c r="S296" s="34"/>
    </row>
    <row r="297" spans="18:19" x14ac:dyDescent="0.3">
      <c r="R297" s="34"/>
      <c r="S297" s="34"/>
    </row>
    <row r="298" spans="18:19" x14ac:dyDescent="0.3">
      <c r="R298" s="34"/>
      <c r="S298" s="34"/>
    </row>
    <row r="299" spans="18:19" x14ac:dyDescent="0.3">
      <c r="R299" s="34"/>
      <c r="S299" s="34"/>
    </row>
    <row r="300" spans="18:19" x14ac:dyDescent="0.3">
      <c r="R300" s="34"/>
      <c r="S300" s="34"/>
    </row>
    <row r="301" spans="18:19" x14ac:dyDescent="0.3">
      <c r="R301" s="34"/>
      <c r="S301" s="34"/>
    </row>
    <row r="302" spans="18:19" x14ac:dyDescent="0.3">
      <c r="R302" s="34"/>
      <c r="S302" s="34"/>
    </row>
    <row r="303" spans="18:19" x14ac:dyDescent="0.3">
      <c r="R303" s="34"/>
      <c r="S303" s="34"/>
    </row>
    <row r="304" spans="18:19" x14ac:dyDescent="0.3">
      <c r="R304" s="34"/>
      <c r="S304" s="34"/>
    </row>
    <row r="305" spans="18:19" x14ac:dyDescent="0.3">
      <c r="R305" s="34"/>
      <c r="S305" s="34"/>
    </row>
    <row r="306" spans="18:19" x14ac:dyDescent="0.3">
      <c r="R306" s="34"/>
      <c r="S306" s="34"/>
    </row>
    <row r="307" spans="18:19" x14ac:dyDescent="0.3">
      <c r="R307" s="34"/>
      <c r="S307" s="34"/>
    </row>
    <row r="308" spans="18:19" x14ac:dyDescent="0.3">
      <c r="R308" s="34"/>
      <c r="S308" s="34"/>
    </row>
    <row r="309" spans="18:19" x14ac:dyDescent="0.3">
      <c r="R309" s="34"/>
      <c r="S309" s="34"/>
    </row>
    <row r="310" spans="18:19" x14ac:dyDescent="0.3">
      <c r="R310" s="34"/>
      <c r="S310" s="34"/>
    </row>
    <row r="311" spans="18:19" x14ac:dyDescent="0.3">
      <c r="R311" s="34"/>
      <c r="S311" s="34"/>
    </row>
    <row r="312" spans="18:19" x14ac:dyDescent="0.3">
      <c r="R312" s="34"/>
      <c r="S312" s="34"/>
    </row>
    <row r="313" spans="18:19" x14ac:dyDescent="0.3">
      <c r="R313" s="34"/>
      <c r="S313" s="34"/>
    </row>
    <row r="314" spans="18:19" x14ac:dyDescent="0.3">
      <c r="R314" s="34"/>
      <c r="S314" s="34"/>
    </row>
    <row r="315" spans="18:19" x14ac:dyDescent="0.3">
      <c r="R315" s="34"/>
      <c r="S315" s="34"/>
    </row>
    <row r="316" spans="18:19" x14ac:dyDescent="0.3">
      <c r="R316" s="34"/>
      <c r="S316" s="34"/>
    </row>
    <row r="317" spans="18:19" x14ac:dyDescent="0.3">
      <c r="R317" s="34"/>
      <c r="S317" s="34"/>
    </row>
    <row r="318" spans="18:19" x14ac:dyDescent="0.3">
      <c r="R318" s="34"/>
      <c r="S318" s="34"/>
    </row>
    <row r="319" spans="18:19" x14ac:dyDescent="0.3">
      <c r="R319" s="34"/>
      <c r="S319" s="34"/>
    </row>
    <row r="320" spans="18:19" x14ac:dyDescent="0.3">
      <c r="R320" s="34"/>
      <c r="S320" s="34"/>
    </row>
    <row r="321" spans="18:19" x14ac:dyDescent="0.3">
      <c r="R321" s="34"/>
      <c r="S321" s="34"/>
    </row>
    <row r="322" spans="18:19" x14ac:dyDescent="0.3">
      <c r="R322" s="34"/>
      <c r="S322" s="34"/>
    </row>
    <row r="323" spans="18:19" x14ac:dyDescent="0.3">
      <c r="R323" s="34"/>
      <c r="S323" s="34"/>
    </row>
    <row r="324" spans="18:19" x14ac:dyDescent="0.3">
      <c r="R324" s="34"/>
      <c r="S324" s="34"/>
    </row>
    <row r="325" spans="18:19" x14ac:dyDescent="0.3">
      <c r="R325" s="34"/>
      <c r="S325" s="34"/>
    </row>
    <row r="326" spans="18:19" x14ac:dyDescent="0.3">
      <c r="R326" s="34"/>
      <c r="S326" s="34"/>
    </row>
    <row r="327" spans="18:19" x14ac:dyDescent="0.3">
      <c r="R327" s="34"/>
      <c r="S327" s="34"/>
    </row>
    <row r="328" spans="18:19" x14ac:dyDescent="0.3">
      <c r="R328" s="34"/>
      <c r="S328" s="34"/>
    </row>
    <row r="329" spans="18:19" x14ac:dyDescent="0.3">
      <c r="R329" s="34"/>
      <c r="S329" s="34"/>
    </row>
    <row r="330" spans="18:19" x14ac:dyDescent="0.3">
      <c r="R330" s="34"/>
      <c r="S330" s="34"/>
    </row>
    <row r="331" spans="18:19" x14ac:dyDescent="0.3">
      <c r="R331" s="34"/>
      <c r="S331" s="34"/>
    </row>
    <row r="332" spans="18:19" x14ac:dyDescent="0.3">
      <c r="R332" s="34"/>
      <c r="S332" s="34"/>
    </row>
    <row r="333" spans="18:19" x14ac:dyDescent="0.3">
      <c r="R333" s="34"/>
      <c r="S333" s="34"/>
    </row>
    <row r="334" spans="18:19" x14ac:dyDescent="0.3">
      <c r="R334" s="34"/>
      <c r="S334" s="34"/>
    </row>
    <row r="335" spans="18:19" x14ac:dyDescent="0.3">
      <c r="R335" s="34"/>
      <c r="S335" s="34"/>
    </row>
    <row r="336" spans="18:19" x14ac:dyDescent="0.3">
      <c r="R336" s="34"/>
      <c r="S336" s="34"/>
    </row>
    <row r="337" spans="18:19" x14ac:dyDescent="0.3">
      <c r="R337" s="34"/>
      <c r="S337" s="34"/>
    </row>
    <row r="338" spans="18:19" x14ac:dyDescent="0.3">
      <c r="R338" s="34"/>
      <c r="S338" s="34"/>
    </row>
    <row r="339" spans="18:19" x14ac:dyDescent="0.3">
      <c r="R339" s="34"/>
      <c r="S339" s="34"/>
    </row>
    <row r="340" spans="18:19" x14ac:dyDescent="0.3">
      <c r="R340" s="34"/>
      <c r="S340" s="34"/>
    </row>
    <row r="341" spans="18:19" x14ac:dyDescent="0.3">
      <c r="R341" s="34"/>
      <c r="S341" s="34"/>
    </row>
    <row r="342" spans="18:19" x14ac:dyDescent="0.3">
      <c r="R342" s="34"/>
      <c r="S342" s="34"/>
    </row>
    <row r="343" spans="18:19" x14ac:dyDescent="0.3">
      <c r="R343" s="34"/>
      <c r="S343" s="34"/>
    </row>
    <row r="344" spans="18:19" x14ac:dyDescent="0.3">
      <c r="R344" s="34"/>
      <c r="S344" s="34"/>
    </row>
    <row r="345" spans="18:19" x14ac:dyDescent="0.3">
      <c r="R345" s="34"/>
      <c r="S345" s="34"/>
    </row>
    <row r="346" spans="18:19" x14ac:dyDescent="0.3">
      <c r="R346" s="34"/>
      <c r="S346" s="34"/>
    </row>
    <row r="347" spans="18:19" x14ac:dyDescent="0.3">
      <c r="R347" s="34"/>
      <c r="S347" s="34"/>
    </row>
    <row r="348" spans="18:19" x14ac:dyDescent="0.3">
      <c r="R348" s="34"/>
      <c r="S348" s="34"/>
    </row>
    <row r="349" spans="18:19" x14ac:dyDescent="0.3">
      <c r="R349" s="34"/>
      <c r="S349" s="34"/>
    </row>
    <row r="350" spans="18:19" x14ac:dyDescent="0.3">
      <c r="R350" s="34"/>
      <c r="S350" s="34"/>
    </row>
    <row r="351" spans="18:19" x14ac:dyDescent="0.3">
      <c r="R351" s="34"/>
      <c r="S351" s="34"/>
    </row>
    <row r="352" spans="18:19" x14ac:dyDescent="0.3">
      <c r="R352" s="34"/>
      <c r="S352" s="34"/>
    </row>
    <row r="353" spans="18:19" x14ac:dyDescent="0.3">
      <c r="R353" s="34"/>
      <c r="S353" s="34"/>
    </row>
    <row r="354" spans="18:19" x14ac:dyDescent="0.3">
      <c r="R354" s="34"/>
      <c r="S354" s="34"/>
    </row>
    <row r="355" spans="18:19" x14ac:dyDescent="0.3">
      <c r="R355" s="34"/>
      <c r="S355" s="34"/>
    </row>
    <row r="356" spans="18:19" x14ac:dyDescent="0.3">
      <c r="R356" s="34"/>
      <c r="S356" s="34"/>
    </row>
    <row r="357" spans="18:19" x14ac:dyDescent="0.3">
      <c r="R357" s="34"/>
      <c r="S357" s="34"/>
    </row>
    <row r="358" spans="18:19" x14ac:dyDescent="0.3">
      <c r="R358" s="34"/>
      <c r="S358" s="34"/>
    </row>
    <row r="359" spans="18:19" x14ac:dyDescent="0.3">
      <c r="R359" s="34"/>
      <c r="S359" s="34"/>
    </row>
    <row r="360" spans="18:19" x14ac:dyDescent="0.3">
      <c r="R360" s="34"/>
      <c r="S360" s="34"/>
    </row>
    <row r="361" spans="18:19" x14ac:dyDescent="0.3">
      <c r="R361" s="34"/>
      <c r="S361" s="34"/>
    </row>
    <row r="362" spans="18:19" x14ac:dyDescent="0.3">
      <c r="R362" s="34"/>
      <c r="S362" s="34"/>
    </row>
    <row r="363" spans="18:19" x14ac:dyDescent="0.3">
      <c r="R363" s="34"/>
      <c r="S363" s="34"/>
    </row>
    <row r="364" spans="18:19" x14ac:dyDescent="0.3">
      <c r="R364" s="34"/>
      <c r="S364" s="34"/>
    </row>
    <row r="365" spans="18:19" x14ac:dyDescent="0.3">
      <c r="R365" s="34"/>
      <c r="S365" s="34"/>
    </row>
    <row r="366" spans="18:19" x14ac:dyDescent="0.3">
      <c r="R366" s="34"/>
      <c r="S366" s="34"/>
    </row>
    <row r="367" spans="18:19" x14ac:dyDescent="0.3">
      <c r="R367" s="34"/>
      <c r="S367" s="34"/>
    </row>
    <row r="368" spans="18:19" x14ac:dyDescent="0.3">
      <c r="R368" s="34"/>
      <c r="S368" s="34"/>
    </row>
    <row r="369" spans="18:19" x14ac:dyDescent="0.3">
      <c r="R369" s="34"/>
      <c r="S369" s="34"/>
    </row>
    <row r="370" spans="18:19" x14ac:dyDescent="0.3">
      <c r="R370" s="34"/>
      <c r="S370" s="34"/>
    </row>
    <row r="371" spans="18:19" x14ac:dyDescent="0.3">
      <c r="R371" s="34"/>
      <c r="S371" s="34"/>
    </row>
    <row r="372" spans="18:19" x14ac:dyDescent="0.3">
      <c r="R372" s="34"/>
      <c r="S372" s="34"/>
    </row>
    <row r="373" spans="18:19" x14ac:dyDescent="0.3">
      <c r="R373" s="34"/>
      <c r="S373" s="34"/>
    </row>
    <row r="374" spans="18:19" x14ac:dyDescent="0.3">
      <c r="R374" s="34"/>
      <c r="S374" s="34"/>
    </row>
    <row r="375" spans="18:19" x14ac:dyDescent="0.3">
      <c r="R375" s="34"/>
      <c r="S375" s="34"/>
    </row>
    <row r="376" spans="18:19" x14ac:dyDescent="0.3">
      <c r="R376" s="34"/>
      <c r="S376" s="34"/>
    </row>
    <row r="377" spans="18:19" x14ac:dyDescent="0.3">
      <c r="R377" s="34"/>
      <c r="S377" s="34"/>
    </row>
    <row r="378" spans="18:19" x14ac:dyDescent="0.3">
      <c r="R378" s="34"/>
      <c r="S378" s="34"/>
    </row>
    <row r="379" spans="18:19" x14ac:dyDescent="0.3">
      <c r="R379" s="34"/>
      <c r="S379" s="34"/>
    </row>
    <row r="380" spans="18:19" x14ac:dyDescent="0.3">
      <c r="R380" s="34"/>
      <c r="S380" s="34"/>
    </row>
    <row r="381" spans="18:19" x14ac:dyDescent="0.3">
      <c r="R381" s="34"/>
      <c r="S381" s="34"/>
    </row>
    <row r="382" spans="18:19" x14ac:dyDescent="0.3">
      <c r="R382" s="34"/>
      <c r="S382" s="34"/>
    </row>
    <row r="383" spans="18:19" x14ac:dyDescent="0.3">
      <c r="R383" s="34"/>
      <c r="S383" s="34"/>
    </row>
    <row r="384" spans="18:19" x14ac:dyDescent="0.3">
      <c r="R384" s="34"/>
      <c r="S384" s="34"/>
    </row>
    <row r="385" spans="18:19" x14ac:dyDescent="0.3">
      <c r="R385" s="34"/>
      <c r="S385" s="34"/>
    </row>
    <row r="386" spans="18:19" x14ac:dyDescent="0.3">
      <c r="R386" s="34"/>
      <c r="S386" s="34"/>
    </row>
    <row r="387" spans="18:19" x14ac:dyDescent="0.3">
      <c r="R387" s="34"/>
      <c r="S387" s="34"/>
    </row>
    <row r="388" spans="18:19" x14ac:dyDescent="0.3">
      <c r="R388" s="34"/>
      <c r="S388" s="34"/>
    </row>
    <row r="389" spans="18:19" x14ac:dyDescent="0.3">
      <c r="R389" s="34"/>
      <c r="S389" s="34"/>
    </row>
    <row r="390" spans="18:19" x14ac:dyDescent="0.3">
      <c r="R390" s="34"/>
      <c r="S390" s="34"/>
    </row>
    <row r="391" spans="18:19" x14ac:dyDescent="0.3">
      <c r="R391" s="34"/>
      <c r="S391" s="34"/>
    </row>
    <row r="392" spans="18:19" x14ac:dyDescent="0.3">
      <c r="R392" s="34"/>
      <c r="S392" s="34"/>
    </row>
    <row r="393" spans="18:19" x14ac:dyDescent="0.3">
      <c r="R393" s="34"/>
      <c r="S393" s="34"/>
    </row>
    <row r="394" spans="18:19" x14ac:dyDescent="0.3">
      <c r="R394" s="34"/>
      <c r="S394" s="34"/>
    </row>
    <row r="395" spans="18:19" x14ac:dyDescent="0.3">
      <c r="R395" s="34"/>
      <c r="S395" s="34"/>
    </row>
    <row r="396" spans="18:19" x14ac:dyDescent="0.3">
      <c r="R396" s="34"/>
      <c r="S396" s="34"/>
    </row>
    <row r="397" spans="18:19" x14ac:dyDescent="0.3">
      <c r="R397" s="34"/>
      <c r="S397" s="34"/>
    </row>
    <row r="398" spans="18:19" x14ac:dyDescent="0.3">
      <c r="R398" s="34"/>
      <c r="S398" s="34"/>
    </row>
    <row r="399" spans="18:19" x14ac:dyDescent="0.3">
      <c r="R399" s="34"/>
      <c r="S399" s="34"/>
    </row>
    <row r="400" spans="18:19" x14ac:dyDescent="0.3">
      <c r="R400" s="34"/>
      <c r="S400" s="34"/>
    </row>
    <row r="401" spans="18:19" x14ac:dyDescent="0.3">
      <c r="R401" s="34"/>
      <c r="S401" s="34"/>
    </row>
    <row r="402" spans="18:19" x14ac:dyDescent="0.3">
      <c r="R402" s="34"/>
      <c r="S402" s="34"/>
    </row>
    <row r="403" spans="18:19" x14ac:dyDescent="0.3">
      <c r="R403" s="34"/>
      <c r="S403" s="34"/>
    </row>
    <row r="404" spans="18:19" x14ac:dyDescent="0.3">
      <c r="R404" s="34"/>
      <c r="S404" s="34"/>
    </row>
    <row r="405" spans="18:19" x14ac:dyDescent="0.3">
      <c r="R405" s="34"/>
      <c r="S405" s="34"/>
    </row>
    <row r="406" spans="18:19" x14ac:dyDescent="0.3">
      <c r="R406" s="34"/>
      <c r="S406" s="34"/>
    </row>
    <row r="407" spans="18:19" x14ac:dyDescent="0.3">
      <c r="R407" s="34"/>
      <c r="S407" s="34"/>
    </row>
    <row r="408" spans="18:19" x14ac:dyDescent="0.3">
      <c r="R408" s="34"/>
      <c r="S408" s="34"/>
    </row>
    <row r="409" spans="18:19" x14ac:dyDescent="0.3">
      <c r="R409" s="34"/>
      <c r="S409" s="34"/>
    </row>
    <row r="410" spans="18:19" x14ac:dyDescent="0.3">
      <c r="R410" s="34"/>
      <c r="S410" s="34"/>
    </row>
    <row r="411" spans="18:19" x14ac:dyDescent="0.3">
      <c r="R411" s="34"/>
      <c r="S411" s="34"/>
    </row>
    <row r="412" spans="18:19" x14ac:dyDescent="0.3">
      <c r="R412" s="34"/>
      <c r="S412" s="34"/>
    </row>
    <row r="413" spans="18:19" x14ac:dyDescent="0.3">
      <c r="R413" s="34"/>
      <c r="S413" s="34"/>
    </row>
    <row r="414" spans="18:19" x14ac:dyDescent="0.3">
      <c r="R414" s="34"/>
      <c r="S414" s="34"/>
    </row>
    <row r="415" spans="18:19" x14ac:dyDescent="0.3">
      <c r="R415" s="34"/>
      <c r="S415" s="34"/>
    </row>
    <row r="416" spans="18:19" x14ac:dyDescent="0.3">
      <c r="R416" s="34"/>
      <c r="S416" s="34"/>
    </row>
    <row r="417" spans="18:19" x14ac:dyDescent="0.3">
      <c r="R417" s="34"/>
      <c r="S417" s="34"/>
    </row>
    <row r="418" spans="18:19" x14ac:dyDescent="0.3">
      <c r="R418" s="34"/>
      <c r="S418" s="34"/>
    </row>
    <row r="419" spans="18:19" x14ac:dyDescent="0.3">
      <c r="R419" s="34"/>
      <c r="S419" s="34"/>
    </row>
    <row r="420" spans="18:19" x14ac:dyDescent="0.3">
      <c r="R420" s="34"/>
      <c r="S420" s="34"/>
    </row>
    <row r="421" spans="18:19" x14ac:dyDescent="0.3">
      <c r="R421" s="34"/>
      <c r="S421" s="34"/>
    </row>
    <row r="422" spans="18:19" x14ac:dyDescent="0.3">
      <c r="R422" s="34"/>
      <c r="S422" s="34"/>
    </row>
    <row r="423" spans="18:19" x14ac:dyDescent="0.3">
      <c r="R423" s="34"/>
      <c r="S423" s="34"/>
    </row>
    <row r="424" spans="18:19" x14ac:dyDescent="0.3">
      <c r="R424" s="34"/>
      <c r="S424" s="34"/>
    </row>
    <row r="425" spans="18:19" x14ac:dyDescent="0.3">
      <c r="R425" s="34"/>
      <c r="S425" s="34"/>
    </row>
    <row r="426" spans="18:19" x14ac:dyDescent="0.3">
      <c r="R426" s="34"/>
      <c r="S426" s="34"/>
    </row>
    <row r="427" spans="18:19" x14ac:dyDescent="0.3">
      <c r="R427" s="34"/>
      <c r="S427" s="34"/>
    </row>
    <row r="428" spans="18:19" x14ac:dyDescent="0.3">
      <c r="R428" s="34"/>
      <c r="S428" s="34"/>
    </row>
    <row r="429" spans="18:19" x14ac:dyDescent="0.3">
      <c r="R429" s="34"/>
      <c r="S429" s="34"/>
    </row>
    <row r="430" spans="18:19" x14ac:dyDescent="0.3">
      <c r="R430" s="34"/>
      <c r="S430" s="34"/>
    </row>
    <row r="431" spans="18:19" x14ac:dyDescent="0.3">
      <c r="R431" s="34"/>
      <c r="S431" s="34"/>
    </row>
    <row r="432" spans="18:19" x14ac:dyDescent="0.3">
      <c r="R432" s="34"/>
      <c r="S432" s="34"/>
    </row>
    <row r="433" spans="18:19" x14ac:dyDescent="0.3">
      <c r="R433" s="34"/>
      <c r="S433" s="34"/>
    </row>
    <row r="434" spans="18:19" x14ac:dyDescent="0.3">
      <c r="R434" s="34"/>
      <c r="S434" s="34"/>
    </row>
    <row r="435" spans="18:19" x14ac:dyDescent="0.3">
      <c r="R435" s="34"/>
      <c r="S435" s="34"/>
    </row>
    <row r="436" spans="18:19" x14ac:dyDescent="0.3">
      <c r="R436" s="34"/>
      <c r="S436" s="34"/>
    </row>
    <row r="437" spans="18:19" x14ac:dyDescent="0.3">
      <c r="R437" s="34"/>
      <c r="S437" s="34"/>
    </row>
    <row r="438" spans="18:19" x14ac:dyDescent="0.3">
      <c r="R438" s="34"/>
      <c r="S438" s="34"/>
    </row>
    <row r="439" spans="18:19" x14ac:dyDescent="0.3">
      <c r="R439" s="34"/>
      <c r="S439" s="34"/>
    </row>
    <row r="440" spans="18:19" x14ac:dyDescent="0.3">
      <c r="R440" s="34"/>
      <c r="S440" s="34"/>
    </row>
    <row r="441" spans="18:19" x14ac:dyDescent="0.3">
      <c r="R441" s="34"/>
      <c r="S441" s="34"/>
    </row>
    <row r="442" spans="18:19" x14ac:dyDescent="0.3">
      <c r="R442" s="34"/>
      <c r="S442" s="34"/>
    </row>
    <row r="443" spans="18:19" x14ac:dyDescent="0.3">
      <c r="R443" s="34"/>
      <c r="S443" s="34"/>
    </row>
    <row r="444" spans="18:19" x14ac:dyDescent="0.3">
      <c r="R444" s="34"/>
      <c r="S444" s="34"/>
    </row>
    <row r="445" spans="18:19" x14ac:dyDescent="0.3">
      <c r="R445" s="34"/>
      <c r="S445" s="34"/>
    </row>
    <row r="446" spans="18:19" x14ac:dyDescent="0.3">
      <c r="R446" s="34"/>
      <c r="S446" s="34"/>
    </row>
    <row r="447" spans="18:19" x14ac:dyDescent="0.3">
      <c r="R447" s="34"/>
      <c r="S447" s="34"/>
    </row>
    <row r="448" spans="18:19" x14ac:dyDescent="0.3">
      <c r="R448" s="34"/>
      <c r="S448" s="34"/>
    </row>
    <row r="449" spans="18:19" x14ac:dyDescent="0.3">
      <c r="R449" s="34"/>
      <c r="S449" s="34"/>
    </row>
    <row r="450" spans="18:19" x14ac:dyDescent="0.3">
      <c r="R450" s="34"/>
      <c r="S450" s="34"/>
    </row>
    <row r="451" spans="18:19" x14ac:dyDescent="0.3">
      <c r="R451" s="34"/>
      <c r="S451" s="34"/>
    </row>
    <row r="452" spans="18:19" x14ac:dyDescent="0.3">
      <c r="R452" s="34"/>
      <c r="S452" s="34"/>
    </row>
    <row r="453" spans="18:19" x14ac:dyDescent="0.3">
      <c r="R453" s="34"/>
      <c r="S453" s="34"/>
    </row>
    <row r="454" spans="18:19" x14ac:dyDescent="0.3">
      <c r="R454" s="34"/>
      <c r="S454" s="34"/>
    </row>
    <row r="455" spans="18:19" x14ac:dyDescent="0.3">
      <c r="R455" s="34"/>
      <c r="S455" s="34"/>
    </row>
    <row r="456" spans="18:19" x14ac:dyDescent="0.3">
      <c r="R456" s="34"/>
      <c r="S456" s="34"/>
    </row>
    <row r="457" spans="18:19" x14ac:dyDescent="0.3">
      <c r="R457" s="34"/>
      <c r="S457" s="34"/>
    </row>
    <row r="458" spans="18:19" x14ac:dyDescent="0.3">
      <c r="R458" s="34"/>
      <c r="S458" s="34"/>
    </row>
    <row r="459" spans="18:19" x14ac:dyDescent="0.3">
      <c r="R459" s="34"/>
      <c r="S459" s="34"/>
    </row>
    <row r="460" spans="18:19" x14ac:dyDescent="0.3">
      <c r="R460" s="34"/>
      <c r="S460" s="34"/>
    </row>
    <row r="461" spans="18:19" x14ac:dyDescent="0.3">
      <c r="R461" s="34"/>
      <c r="S461" s="34"/>
    </row>
    <row r="462" spans="18:19" x14ac:dyDescent="0.3">
      <c r="R462" s="34"/>
      <c r="S462" s="34"/>
    </row>
    <row r="463" spans="18:19" x14ac:dyDescent="0.3">
      <c r="R463" s="34"/>
      <c r="S463" s="34"/>
    </row>
    <row r="464" spans="18:19" x14ac:dyDescent="0.3">
      <c r="R464" s="34"/>
      <c r="S464" s="34"/>
    </row>
    <row r="465" spans="18:19" x14ac:dyDescent="0.3">
      <c r="R465" s="34"/>
      <c r="S465" s="34"/>
    </row>
    <row r="466" spans="18:19" x14ac:dyDescent="0.3">
      <c r="R466" s="34"/>
      <c r="S466" s="34"/>
    </row>
    <row r="467" spans="18:19" x14ac:dyDescent="0.3">
      <c r="R467" s="34"/>
      <c r="S467" s="34"/>
    </row>
    <row r="468" spans="18:19" x14ac:dyDescent="0.3">
      <c r="R468" s="34"/>
      <c r="S468" s="34"/>
    </row>
    <row r="469" spans="18:19" x14ac:dyDescent="0.3">
      <c r="R469" s="34"/>
      <c r="S469" s="34"/>
    </row>
    <row r="470" spans="18:19" x14ac:dyDescent="0.3">
      <c r="R470" s="34"/>
      <c r="S470" s="34"/>
    </row>
    <row r="471" spans="18:19" x14ac:dyDescent="0.3">
      <c r="R471" s="34"/>
      <c r="S471" s="34"/>
    </row>
    <row r="472" spans="18:19" x14ac:dyDescent="0.3">
      <c r="R472" s="34"/>
      <c r="S472" s="34"/>
    </row>
    <row r="473" spans="18:19" x14ac:dyDescent="0.3">
      <c r="R473" s="34"/>
      <c r="S473" s="34"/>
    </row>
    <row r="474" spans="18:19" x14ac:dyDescent="0.3">
      <c r="R474" s="34"/>
      <c r="S474" s="34"/>
    </row>
    <row r="475" spans="18:19" x14ac:dyDescent="0.3">
      <c r="R475" s="34"/>
      <c r="S475" s="34"/>
    </row>
    <row r="476" spans="18:19" x14ac:dyDescent="0.3">
      <c r="R476" s="34"/>
      <c r="S476" s="34"/>
    </row>
    <row r="477" spans="18:19" x14ac:dyDescent="0.3">
      <c r="R477" s="34"/>
      <c r="S477" s="34"/>
    </row>
    <row r="478" spans="18:19" x14ac:dyDescent="0.3">
      <c r="R478" s="34"/>
      <c r="S478" s="34"/>
    </row>
    <row r="479" spans="18:19" x14ac:dyDescent="0.3">
      <c r="R479" s="34"/>
      <c r="S479" s="34"/>
    </row>
    <row r="480" spans="18:19" x14ac:dyDescent="0.3">
      <c r="R480" s="34"/>
      <c r="S480" s="34"/>
    </row>
    <row r="481" spans="18:19" x14ac:dyDescent="0.3">
      <c r="R481" s="34"/>
      <c r="S481" s="34"/>
    </row>
    <row r="482" spans="18:19" x14ac:dyDescent="0.3">
      <c r="R482" s="34"/>
      <c r="S482" s="34"/>
    </row>
    <row r="483" spans="18:19" x14ac:dyDescent="0.3">
      <c r="R483" s="34"/>
      <c r="S483" s="34"/>
    </row>
    <row r="484" spans="18:19" x14ac:dyDescent="0.3">
      <c r="R484" s="34"/>
      <c r="S484" s="34"/>
    </row>
    <row r="485" spans="18:19" x14ac:dyDescent="0.3">
      <c r="R485" s="34"/>
      <c r="S485" s="34"/>
    </row>
    <row r="486" spans="18:19" x14ac:dyDescent="0.3">
      <c r="R486" s="34"/>
      <c r="S486" s="34"/>
    </row>
    <row r="487" spans="18:19" x14ac:dyDescent="0.3">
      <c r="R487" s="34"/>
      <c r="S487" s="34"/>
    </row>
    <row r="488" spans="18:19" x14ac:dyDescent="0.3">
      <c r="R488" s="34"/>
      <c r="S488" s="34"/>
    </row>
    <row r="489" spans="18:19" x14ac:dyDescent="0.3">
      <c r="R489" s="34"/>
      <c r="S489" s="34"/>
    </row>
    <row r="490" spans="18:19" x14ac:dyDescent="0.3">
      <c r="R490" s="34"/>
      <c r="S490" s="34"/>
    </row>
    <row r="491" spans="18:19" x14ac:dyDescent="0.3">
      <c r="R491" s="34"/>
      <c r="S491" s="34"/>
    </row>
    <row r="492" spans="18:19" x14ac:dyDescent="0.3">
      <c r="R492" s="34"/>
      <c r="S492" s="34"/>
    </row>
    <row r="493" spans="18:19" x14ac:dyDescent="0.3">
      <c r="R493" s="34"/>
      <c r="S493" s="34"/>
    </row>
    <row r="494" spans="18:19" x14ac:dyDescent="0.3">
      <c r="R494" s="34"/>
      <c r="S494" s="34"/>
    </row>
    <row r="495" spans="18:19" x14ac:dyDescent="0.3">
      <c r="R495" s="34"/>
      <c r="S495" s="34"/>
    </row>
    <row r="496" spans="18:19" x14ac:dyDescent="0.3">
      <c r="R496" s="34"/>
      <c r="S496" s="34"/>
    </row>
    <row r="497" spans="18:19" x14ac:dyDescent="0.3">
      <c r="R497" s="34"/>
      <c r="S497" s="34"/>
    </row>
    <row r="498" spans="18:19" x14ac:dyDescent="0.3">
      <c r="R498" s="34"/>
      <c r="S498" s="34"/>
    </row>
    <row r="499" spans="18:19" x14ac:dyDescent="0.3">
      <c r="R499" s="34"/>
      <c r="S499" s="34"/>
    </row>
    <row r="500" spans="18:19" x14ac:dyDescent="0.3">
      <c r="R500" s="34"/>
      <c r="S500" s="34"/>
    </row>
    <row r="501" spans="18:19" x14ac:dyDescent="0.3">
      <c r="R501" s="34"/>
      <c r="S501" s="34"/>
    </row>
    <row r="502" spans="18:19" x14ac:dyDescent="0.3">
      <c r="R502" s="34"/>
      <c r="S502" s="34"/>
    </row>
    <row r="503" spans="18:19" x14ac:dyDescent="0.3">
      <c r="R503" s="34"/>
      <c r="S503" s="34"/>
    </row>
    <row r="504" spans="18:19" x14ac:dyDescent="0.3">
      <c r="R504" s="34"/>
      <c r="S504" s="34"/>
    </row>
    <row r="505" spans="18:19" x14ac:dyDescent="0.3">
      <c r="R505" s="34"/>
      <c r="S505" s="34"/>
    </row>
    <row r="506" spans="18:19" x14ac:dyDescent="0.3">
      <c r="R506" s="34"/>
      <c r="S506" s="34"/>
    </row>
    <row r="507" spans="18:19" x14ac:dyDescent="0.3">
      <c r="R507" s="34"/>
      <c r="S507" s="34"/>
    </row>
    <row r="508" spans="18:19" x14ac:dyDescent="0.3">
      <c r="R508" s="34"/>
      <c r="S508" s="34"/>
    </row>
    <row r="509" spans="18:19" x14ac:dyDescent="0.3">
      <c r="R509" s="34"/>
      <c r="S509" s="34"/>
    </row>
    <row r="510" spans="18:19" x14ac:dyDescent="0.3">
      <c r="R510" s="34"/>
      <c r="S510" s="34"/>
    </row>
    <row r="511" spans="18:19" x14ac:dyDescent="0.3">
      <c r="R511" s="34"/>
      <c r="S511" s="34"/>
    </row>
    <row r="512" spans="18:19" x14ac:dyDescent="0.3">
      <c r="R512" s="34"/>
      <c r="S512" s="34"/>
    </row>
    <row r="513" spans="18:19" x14ac:dyDescent="0.3">
      <c r="R513" s="34"/>
      <c r="S513" s="34"/>
    </row>
    <row r="514" spans="18:19" x14ac:dyDescent="0.3">
      <c r="R514" s="34"/>
      <c r="S514" s="34"/>
    </row>
    <row r="515" spans="18:19" x14ac:dyDescent="0.3">
      <c r="R515" s="34"/>
      <c r="S515" s="34"/>
    </row>
    <row r="516" spans="18:19" x14ac:dyDescent="0.3">
      <c r="R516" s="34"/>
      <c r="S516" s="34"/>
    </row>
    <row r="517" spans="18:19" x14ac:dyDescent="0.3">
      <c r="R517" s="34"/>
      <c r="S517" s="34"/>
    </row>
    <row r="518" spans="18:19" x14ac:dyDescent="0.3">
      <c r="R518" s="34"/>
      <c r="S518" s="34"/>
    </row>
    <row r="519" spans="18:19" x14ac:dyDescent="0.3">
      <c r="R519" s="34"/>
      <c r="S519" s="34"/>
    </row>
    <row r="520" spans="18:19" x14ac:dyDescent="0.3">
      <c r="R520" s="34"/>
      <c r="S520" s="34"/>
    </row>
    <row r="521" spans="18:19" x14ac:dyDescent="0.3">
      <c r="R521" s="34"/>
      <c r="S521" s="34"/>
    </row>
    <row r="522" spans="18:19" x14ac:dyDescent="0.3">
      <c r="R522" s="34"/>
      <c r="S522" s="34"/>
    </row>
    <row r="523" spans="18:19" x14ac:dyDescent="0.3">
      <c r="R523" s="34"/>
      <c r="S523" s="34"/>
    </row>
    <row r="524" spans="18:19" x14ac:dyDescent="0.3">
      <c r="R524" s="34"/>
      <c r="S524" s="34"/>
    </row>
    <row r="525" spans="18:19" x14ac:dyDescent="0.3">
      <c r="R525" s="34"/>
      <c r="S525" s="34"/>
    </row>
    <row r="526" spans="18:19" x14ac:dyDescent="0.3">
      <c r="R526" s="34"/>
      <c r="S526" s="34"/>
    </row>
    <row r="527" spans="18:19" x14ac:dyDescent="0.3">
      <c r="R527" s="34"/>
      <c r="S527" s="34"/>
    </row>
    <row r="528" spans="18:19" x14ac:dyDescent="0.3">
      <c r="R528" s="34"/>
      <c r="S528" s="34"/>
    </row>
    <row r="529" spans="18:19" x14ac:dyDescent="0.3">
      <c r="R529" s="34"/>
      <c r="S529" s="34"/>
    </row>
    <row r="530" spans="18:19" x14ac:dyDescent="0.3">
      <c r="R530" s="34"/>
      <c r="S530" s="34"/>
    </row>
    <row r="531" spans="18:19" x14ac:dyDescent="0.3">
      <c r="R531" s="34"/>
      <c r="S531" s="34"/>
    </row>
    <row r="532" spans="18:19" x14ac:dyDescent="0.3">
      <c r="R532" s="34"/>
      <c r="S532" s="34"/>
    </row>
    <row r="533" spans="18:19" x14ac:dyDescent="0.3">
      <c r="R533" s="34"/>
      <c r="S533" s="34"/>
    </row>
    <row r="534" spans="18:19" x14ac:dyDescent="0.3">
      <c r="R534" s="34"/>
      <c r="S534" s="34"/>
    </row>
    <row r="535" spans="18:19" x14ac:dyDescent="0.3">
      <c r="R535" s="34"/>
      <c r="S535" s="34"/>
    </row>
    <row r="536" spans="18:19" x14ac:dyDescent="0.3">
      <c r="R536" s="34"/>
      <c r="S536" s="34"/>
    </row>
    <row r="537" spans="18:19" x14ac:dyDescent="0.3">
      <c r="R537" s="34"/>
      <c r="S537" s="34"/>
    </row>
    <row r="538" spans="18:19" x14ac:dyDescent="0.3">
      <c r="R538" s="34"/>
      <c r="S538" s="34"/>
    </row>
    <row r="539" spans="18:19" x14ac:dyDescent="0.3">
      <c r="R539" s="34"/>
      <c r="S539" s="34"/>
    </row>
    <row r="540" spans="18:19" x14ac:dyDescent="0.3">
      <c r="R540" s="34"/>
      <c r="S540" s="34"/>
    </row>
    <row r="541" spans="18:19" x14ac:dyDescent="0.3">
      <c r="R541" s="34"/>
      <c r="S541" s="34"/>
    </row>
    <row r="542" spans="18:19" x14ac:dyDescent="0.3">
      <c r="R542" s="34"/>
      <c r="S542" s="34"/>
    </row>
    <row r="543" spans="18:19" x14ac:dyDescent="0.3">
      <c r="R543" s="34"/>
      <c r="S543" s="34"/>
    </row>
    <row r="544" spans="18:19" x14ac:dyDescent="0.3">
      <c r="R544" s="34"/>
      <c r="S544" s="34"/>
    </row>
    <row r="545" spans="18:19" x14ac:dyDescent="0.3">
      <c r="R545" s="34"/>
      <c r="S545" s="34"/>
    </row>
    <row r="546" spans="18:19" x14ac:dyDescent="0.3">
      <c r="R546" s="34"/>
      <c r="S546" s="34"/>
    </row>
    <row r="547" spans="18:19" x14ac:dyDescent="0.3">
      <c r="R547" s="34"/>
      <c r="S547" s="34"/>
    </row>
    <row r="548" spans="18:19" x14ac:dyDescent="0.3">
      <c r="R548" s="34"/>
      <c r="S548" s="34"/>
    </row>
    <row r="549" spans="18:19" x14ac:dyDescent="0.3">
      <c r="R549" s="34"/>
      <c r="S549" s="34"/>
    </row>
    <row r="550" spans="18:19" x14ac:dyDescent="0.3">
      <c r="R550" s="34"/>
      <c r="S550" s="34"/>
    </row>
    <row r="551" spans="18:19" x14ac:dyDescent="0.3">
      <c r="R551" s="34"/>
      <c r="S551" s="34"/>
    </row>
    <row r="552" spans="18:19" x14ac:dyDescent="0.3">
      <c r="R552" s="34"/>
      <c r="S552" s="34"/>
    </row>
    <row r="553" spans="18:19" x14ac:dyDescent="0.3">
      <c r="R553" s="34"/>
      <c r="S553" s="34"/>
    </row>
    <row r="554" spans="18:19" x14ac:dyDescent="0.3">
      <c r="R554" s="34"/>
      <c r="S554" s="34"/>
    </row>
    <row r="555" spans="18:19" x14ac:dyDescent="0.3">
      <c r="R555" s="34"/>
      <c r="S555" s="34"/>
    </row>
    <row r="556" spans="18:19" x14ac:dyDescent="0.3">
      <c r="R556" s="34"/>
      <c r="S556" s="34"/>
    </row>
    <row r="557" spans="18:19" x14ac:dyDescent="0.3">
      <c r="R557" s="34"/>
      <c r="S557" s="34"/>
    </row>
    <row r="558" spans="18:19" x14ac:dyDescent="0.3">
      <c r="R558" s="34"/>
      <c r="S558" s="34"/>
    </row>
    <row r="559" spans="18:19" x14ac:dyDescent="0.3">
      <c r="R559" s="34"/>
      <c r="S559" s="34"/>
    </row>
    <row r="560" spans="18:19" x14ac:dyDescent="0.3">
      <c r="R560" s="34"/>
      <c r="S560" s="34"/>
    </row>
    <row r="561" spans="18:19" x14ac:dyDescent="0.3">
      <c r="R561" s="34"/>
      <c r="S561" s="34"/>
    </row>
    <row r="562" spans="18:19" x14ac:dyDescent="0.3">
      <c r="R562" s="34"/>
      <c r="S562" s="34"/>
    </row>
    <row r="563" spans="18:19" x14ac:dyDescent="0.3">
      <c r="R563" s="34"/>
      <c r="S563" s="34"/>
    </row>
    <row r="564" spans="18:19" x14ac:dyDescent="0.3">
      <c r="R564" s="34"/>
      <c r="S564" s="34"/>
    </row>
    <row r="565" spans="18:19" x14ac:dyDescent="0.3">
      <c r="R565" s="34"/>
      <c r="S565" s="34"/>
    </row>
    <row r="566" spans="18:19" x14ac:dyDescent="0.3">
      <c r="R566" s="34"/>
      <c r="S566" s="34"/>
    </row>
    <row r="567" spans="18:19" x14ac:dyDescent="0.3">
      <c r="R567" s="34"/>
      <c r="S567" s="34"/>
    </row>
    <row r="568" spans="18:19" x14ac:dyDescent="0.3">
      <c r="R568" s="34"/>
      <c r="S568" s="34"/>
    </row>
    <row r="569" spans="18:19" x14ac:dyDescent="0.3">
      <c r="R569" s="34"/>
      <c r="S569" s="34"/>
    </row>
    <row r="570" spans="18:19" x14ac:dyDescent="0.3">
      <c r="R570" s="34"/>
      <c r="S570" s="34"/>
    </row>
    <row r="571" spans="18:19" x14ac:dyDescent="0.3">
      <c r="R571" s="34"/>
      <c r="S571" s="34"/>
    </row>
    <row r="572" spans="18:19" x14ac:dyDescent="0.3">
      <c r="R572" s="34"/>
      <c r="S572" s="34"/>
    </row>
    <row r="573" spans="18:19" x14ac:dyDescent="0.3">
      <c r="R573" s="34"/>
      <c r="S573" s="34"/>
    </row>
    <row r="574" spans="18:19" x14ac:dyDescent="0.3">
      <c r="R574" s="34"/>
      <c r="S574" s="34"/>
    </row>
    <row r="575" spans="18:19" x14ac:dyDescent="0.3">
      <c r="R575" s="34"/>
      <c r="S575" s="34"/>
    </row>
    <row r="576" spans="18:19" x14ac:dyDescent="0.3">
      <c r="R576" s="34"/>
      <c r="S576" s="34"/>
    </row>
    <row r="577" spans="18:19" x14ac:dyDescent="0.3">
      <c r="R577" s="34"/>
      <c r="S577" s="34"/>
    </row>
    <row r="578" spans="18:19" x14ac:dyDescent="0.3">
      <c r="R578" s="34"/>
      <c r="S578" s="34"/>
    </row>
    <row r="579" spans="18:19" x14ac:dyDescent="0.3">
      <c r="R579" s="34"/>
      <c r="S579" s="34"/>
    </row>
    <row r="580" spans="18:19" x14ac:dyDescent="0.3">
      <c r="R580" s="34"/>
      <c r="S580" s="34"/>
    </row>
    <row r="581" spans="18:19" x14ac:dyDescent="0.3">
      <c r="R581" s="34"/>
      <c r="S581" s="34"/>
    </row>
    <row r="582" spans="18:19" x14ac:dyDescent="0.3">
      <c r="R582" s="34"/>
      <c r="S582" s="34"/>
    </row>
    <row r="583" spans="18:19" x14ac:dyDescent="0.3">
      <c r="R583" s="34"/>
      <c r="S583" s="34"/>
    </row>
    <row r="584" spans="18:19" x14ac:dyDescent="0.3">
      <c r="R584" s="34"/>
      <c r="S584" s="34"/>
    </row>
    <row r="585" spans="18:19" x14ac:dyDescent="0.3">
      <c r="R585" s="34"/>
      <c r="S585" s="34"/>
    </row>
    <row r="586" spans="18:19" x14ac:dyDescent="0.3">
      <c r="R586" s="34"/>
      <c r="S586" s="34"/>
    </row>
    <row r="587" spans="18:19" x14ac:dyDescent="0.3">
      <c r="R587" s="34"/>
      <c r="S587" s="34"/>
    </row>
    <row r="588" spans="18:19" x14ac:dyDescent="0.3">
      <c r="R588" s="34"/>
      <c r="S588" s="34"/>
    </row>
    <row r="589" spans="18:19" x14ac:dyDescent="0.3">
      <c r="R589" s="34"/>
      <c r="S589" s="34"/>
    </row>
    <row r="590" spans="18:19" x14ac:dyDescent="0.3">
      <c r="R590" s="34"/>
      <c r="S590" s="34"/>
    </row>
    <row r="591" spans="18:19" x14ac:dyDescent="0.3">
      <c r="R591" s="34"/>
      <c r="S591" s="34"/>
    </row>
    <row r="592" spans="18:19" x14ac:dyDescent="0.3">
      <c r="R592" s="34"/>
      <c r="S592" s="34"/>
    </row>
    <row r="593" spans="18:19" x14ac:dyDescent="0.3">
      <c r="R593" s="34"/>
      <c r="S593" s="34"/>
    </row>
    <row r="594" spans="18:19" x14ac:dyDescent="0.3">
      <c r="R594" s="34"/>
      <c r="S594" s="34"/>
    </row>
    <row r="595" spans="18:19" x14ac:dyDescent="0.3">
      <c r="R595" s="34"/>
      <c r="S595" s="34"/>
    </row>
    <row r="596" spans="18:19" x14ac:dyDescent="0.3">
      <c r="R596" s="34"/>
      <c r="S596" s="34"/>
    </row>
    <row r="597" spans="18:19" x14ac:dyDescent="0.3">
      <c r="R597" s="34"/>
      <c r="S597" s="34"/>
    </row>
    <row r="598" spans="18:19" x14ac:dyDescent="0.3">
      <c r="R598" s="34"/>
      <c r="S598" s="34"/>
    </row>
    <row r="599" spans="18:19" x14ac:dyDescent="0.3">
      <c r="R599" s="34"/>
      <c r="S599" s="34"/>
    </row>
    <row r="600" spans="18:19" x14ac:dyDescent="0.3">
      <c r="R600" s="34"/>
      <c r="S600" s="34"/>
    </row>
    <row r="601" spans="18:19" x14ac:dyDescent="0.3">
      <c r="R601" s="34"/>
      <c r="S601" s="34"/>
    </row>
    <row r="602" spans="18:19" x14ac:dyDescent="0.3">
      <c r="R602" s="34"/>
      <c r="S602" s="34"/>
    </row>
    <row r="603" spans="18:19" x14ac:dyDescent="0.3">
      <c r="R603" s="34"/>
      <c r="S603" s="34"/>
    </row>
    <row r="604" spans="18:19" x14ac:dyDescent="0.3">
      <c r="R604" s="34"/>
      <c r="S604" s="34"/>
    </row>
    <row r="605" spans="18:19" x14ac:dyDescent="0.3">
      <c r="R605" s="34"/>
      <c r="S605" s="34"/>
    </row>
    <row r="606" spans="18:19" x14ac:dyDescent="0.3">
      <c r="R606" s="34"/>
      <c r="S606" s="34"/>
    </row>
    <row r="607" spans="18:19" x14ac:dyDescent="0.3">
      <c r="R607" s="34"/>
      <c r="S607" s="34"/>
    </row>
    <row r="608" spans="18:19" x14ac:dyDescent="0.3">
      <c r="R608" s="34"/>
      <c r="S608" s="34"/>
    </row>
    <row r="609" spans="18:19" x14ac:dyDescent="0.3">
      <c r="R609" s="34"/>
      <c r="S609" s="34"/>
    </row>
    <row r="610" spans="18:19" x14ac:dyDescent="0.3">
      <c r="R610" s="34"/>
      <c r="S610" s="34"/>
    </row>
    <row r="611" spans="18:19" x14ac:dyDescent="0.3">
      <c r="R611" s="34"/>
      <c r="S611" s="34"/>
    </row>
    <row r="612" spans="18:19" x14ac:dyDescent="0.3">
      <c r="R612" s="34"/>
      <c r="S612" s="34"/>
    </row>
    <row r="613" spans="18:19" x14ac:dyDescent="0.3">
      <c r="R613" s="34"/>
      <c r="S613" s="34"/>
    </row>
    <row r="614" spans="18:19" x14ac:dyDescent="0.3">
      <c r="R614" s="34"/>
      <c r="S614" s="34"/>
    </row>
    <row r="615" spans="18:19" x14ac:dyDescent="0.3">
      <c r="R615" s="34"/>
      <c r="S615" s="34"/>
    </row>
    <row r="616" spans="18:19" x14ac:dyDescent="0.3">
      <c r="R616" s="34"/>
      <c r="S616" s="34"/>
    </row>
    <row r="617" spans="18:19" x14ac:dyDescent="0.3">
      <c r="R617" s="34"/>
      <c r="S617" s="34"/>
    </row>
    <row r="618" spans="18:19" x14ac:dyDescent="0.3">
      <c r="R618" s="34"/>
      <c r="S618" s="34"/>
    </row>
    <row r="619" spans="18:19" x14ac:dyDescent="0.3">
      <c r="R619" s="34"/>
      <c r="S619" s="34"/>
    </row>
    <row r="620" spans="18:19" x14ac:dyDescent="0.3">
      <c r="R620" s="34"/>
      <c r="S620" s="34"/>
    </row>
    <row r="621" spans="18:19" x14ac:dyDescent="0.3">
      <c r="R621" s="34"/>
      <c r="S621" s="34"/>
    </row>
    <row r="622" spans="18:19" x14ac:dyDescent="0.3">
      <c r="R622" s="34"/>
      <c r="S622" s="34"/>
    </row>
    <row r="623" spans="18:19" x14ac:dyDescent="0.3">
      <c r="R623" s="34"/>
      <c r="S623" s="34"/>
    </row>
    <row r="624" spans="18:19" x14ac:dyDescent="0.3">
      <c r="R624" s="34"/>
      <c r="S624" s="34"/>
    </row>
    <row r="625" spans="18:19" x14ac:dyDescent="0.3">
      <c r="R625" s="34"/>
      <c r="S625" s="34"/>
    </row>
    <row r="626" spans="18:19" x14ac:dyDescent="0.3">
      <c r="R626" s="34"/>
      <c r="S626" s="34"/>
    </row>
    <row r="627" spans="18:19" x14ac:dyDescent="0.3">
      <c r="R627" s="34"/>
      <c r="S627" s="34"/>
    </row>
    <row r="628" spans="18:19" x14ac:dyDescent="0.3">
      <c r="R628" s="34"/>
      <c r="S628" s="34"/>
    </row>
    <row r="629" spans="18:19" x14ac:dyDescent="0.3">
      <c r="R629" s="34"/>
      <c r="S629" s="34"/>
    </row>
    <row r="630" spans="18:19" x14ac:dyDescent="0.3">
      <c r="R630" s="34"/>
      <c r="S630" s="34"/>
    </row>
    <row r="631" spans="18:19" x14ac:dyDescent="0.3">
      <c r="R631" s="34"/>
      <c r="S631" s="34"/>
    </row>
    <row r="632" spans="18:19" x14ac:dyDescent="0.3">
      <c r="R632" s="34"/>
      <c r="S632" s="34"/>
    </row>
    <row r="633" spans="18:19" x14ac:dyDescent="0.3">
      <c r="R633" s="34"/>
      <c r="S633" s="34"/>
    </row>
    <row r="634" spans="18:19" x14ac:dyDescent="0.3">
      <c r="R634" s="34"/>
      <c r="S634" s="34"/>
    </row>
    <row r="635" spans="18:19" x14ac:dyDescent="0.3">
      <c r="R635" s="34"/>
      <c r="S635" s="34"/>
    </row>
    <row r="636" spans="18:19" x14ac:dyDescent="0.3">
      <c r="R636" s="34"/>
      <c r="S636" s="34"/>
    </row>
    <row r="637" spans="18:19" x14ac:dyDescent="0.3">
      <c r="R637" s="34"/>
      <c r="S637" s="34"/>
    </row>
    <row r="638" spans="18:19" x14ac:dyDescent="0.3">
      <c r="R638" s="34"/>
      <c r="S638" s="34"/>
    </row>
    <row r="639" spans="18:19" x14ac:dyDescent="0.3">
      <c r="R639" s="34"/>
      <c r="S639" s="34"/>
    </row>
    <row r="640" spans="18:19" x14ac:dyDescent="0.3">
      <c r="R640" s="34"/>
      <c r="S640" s="34"/>
    </row>
    <row r="641" spans="18:19" x14ac:dyDescent="0.3">
      <c r="R641" s="34"/>
      <c r="S641" s="34"/>
    </row>
    <row r="642" spans="18:19" x14ac:dyDescent="0.3">
      <c r="R642" s="34"/>
      <c r="S642" s="34"/>
    </row>
    <row r="643" spans="18:19" x14ac:dyDescent="0.3">
      <c r="R643" s="34"/>
      <c r="S643" s="34"/>
    </row>
    <row r="644" spans="18:19" x14ac:dyDescent="0.3">
      <c r="R644" s="34"/>
      <c r="S644" s="34"/>
    </row>
    <row r="645" spans="18:19" x14ac:dyDescent="0.3">
      <c r="R645" s="34"/>
      <c r="S645" s="34"/>
    </row>
    <row r="646" spans="18:19" x14ac:dyDescent="0.3">
      <c r="R646" s="34"/>
      <c r="S646" s="34"/>
    </row>
    <row r="647" spans="18:19" x14ac:dyDescent="0.3">
      <c r="R647" s="34"/>
      <c r="S647" s="34"/>
    </row>
    <row r="648" spans="18:19" x14ac:dyDescent="0.3">
      <c r="R648" s="34"/>
      <c r="S648" s="34"/>
    </row>
    <row r="649" spans="18:19" x14ac:dyDescent="0.3">
      <c r="R649" s="34"/>
      <c r="S649" s="34"/>
    </row>
    <row r="650" spans="18:19" x14ac:dyDescent="0.3">
      <c r="R650" s="34"/>
      <c r="S650" s="34"/>
    </row>
    <row r="651" spans="18:19" x14ac:dyDescent="0.3">
      <c r="R651" s="34"/>
      <c r="S651" s="34"/>
    </row>
    <row r="652" spans="18:19" x14ac:dyDescent="0.3">
      <c r="R652" s="34"/>
      <c r="S652" s="34"/>
    </row>
    <row r="653" spans="18:19" x14ac:dyDescent="0.3">
      <c r="R653" s="34"/>
      <c r="S653" s="34"/>
    </row>
    <row r="654" spans="18:19" x14ac:dyDescent="0.3">
      <c r="R654" s="34"/>
      <c r="S654" s="34"/>
    </row>
    <row r="655" spans="18:19" x14ac:dyDescent="0.3">
      <c r="R655" s="34"/>
      <c r="S655" s="34"/>
    </row>
    <row r="656" spans="18:19" x14ac:dyDescent="0.3">
      <c r="R656" s="34"/>
      <c r="S656" s="34"/>
    </row>
    <row r="657" spans="18:19" x14ac:dyDescent="0.3">
      <c r="R657" s="34"/>
      <c r="S657" s="34"/>
    </row>
    <row r="658" spans="18:19" x14ac:dyDescent="0.3">
      <c r="R658" s="34"/>
      <c r="S658" s="34"/>
    </row>
    <row r="659" spans="18:19" x14ac:dyDescent="0.3">
      <c r="R659" s="34"/>
      <c r="S659" s="34"/>
    </row>
    <row r="660" spans="18:19" x14ac:dyDescent="0.3">
      <c r="R660" s="34"/>
      <c r="S660" s="34"/>
    </row>
    <row r="661" spans="18:19" x14ac:dyDescent="0.3">
      <c r="R661" s="34"/>
      <c r="S661" s="34"/>
    </row>
    <row r="662" spans="18:19" x14ac:dyDescent="0.3">
      <c r="R662" s="34"/>
      <c r="S662" s="34"/>
    </row>
    <row r="663" spans="18:19" x14ac:dyDescent="0.3">
      <c r="R663" s="34"/>
      <c r="S663" s="34"/>
    </row>
    <row r="664" spans="18:19" x14ac:dyDescent="0.3">
      <c r="R664" s="34"/>
      <c r="S664" s="34"/>
    </row>
    <row r="665" spans="18:19" x14ac:dyDescent="0.3">
      <c r="R665" s="34"/>
      <c r="S665" s="34"/>
    </row>
    <row r="666" spans="18:19" x14ac:dyDescent="0.3">
      <c r="R666" s="34"/>
      <c r="S666" s="34"/>
    </row>
    <row r="667" spans="18:19" x14ac:dyDescent="0.3">
      <c r="R667" s="34"/>
      <c r="S667" s="34"/>
    </row>
    <row r="668" spans="18:19" x14ac:dyDescent="0.3">
      <c r="R668" s="34"/>
      <c r="S668" s="34"/>
    </row>
    <row r="669" spans="18:19" x14ac:dyDescent="0.3">
      <c r="R669" s="34"/>
      <c r="S669" s="34"/>
    </row>
    <row r="670" spans="18:19" x14ac:dyDescent="0.3">
      <c r="R670" s="34"/>
      <c r="S670" s="34"/>
    </row>
    <row r="671" spans="18:19" x14ac:dyDescent="0.3">
      <c r="R671" s="34"/>
      <c r="S671" s="34"/>
    </row>
    <row r="672" spans="18:19" x14ac:dyDescent="0.3">
      <c r="R672" s="34"/>
      <c r="S672" s="34"/>
    </row>
    <row r="673" spans="18:19" x14ac:dyDescent="0.3">
      <c r="R673" s="34"/>
      <c r="S673" s="34"/>
    </row>
    <row r="674" spans="18:19" x14ac:dyDescent="0.3">
      <c r="R674" s="34"/>
      <c r="S674" s="34"/>
    </row>
    <row r="675" spans="18:19" x14ac:dyDescent="0.3">
      <c r="R675" s="34"/>
      <c r="S675" s="34"/>
    </row>
    <row r="676" spans="18:19" x14ac:dyDescent="0.3">
      <c r="R676" s="34"/>
      <c r="S676" s="34"/>
    </row>
    <row r="677" spans="18:19" x14ac:dyDescent="0.3">
      <c r="R677" s="34"/>
      <c r="S677" s="34"/>
    </row>
    <row r="678" spans="18:19" x14ac:dyDescent="0.3">
      <c r="R678" s="34"/>
      <c r="S678" s="34"/>
    </row>
    <row r="679" spans="18:19" x14ac:dyDescent="0.3">
      <c r="R679" s="34"/>
      <c r="S679" s="34"/>
    </row>
    <row r="680" spans="18:19" x14ac:dyDescent="0.3">
      <c r="R680" s="34"/>
      <c r="S680" s="34"/>
    </row>
    <row r="681" spans="18:19" x14ac:dyDescent="0.3">
      <c r="R681" s="34"/>
      <c r="S681" s="34"/>
    </row>
    <row r="682" spans="18:19" x14ac:dyDescent="0.3">
      <c r="R682" s="34"/>
      <c r="S682" s="34"/>
    </row>
    <row r="683" spans="18:19" x14ac:dyDescent="0.3">
      <c r="R683" s="34"/>
      <c r="S683" s="34"/>
    </row>
    <row r="684" spans="18:19" x14ac:dyDescent="0.3">
      <c r="R684" s="34"/>
      <c r="S684" s="34"/>
    </row>
    <row r="685" spans="18:19" x14ac:dyDescent="0.3">
      <c r="R685" s="34"/>
      <c r="S685" s="34"/>
    </row>
    <row r="686" spans="18:19" x14ac:dyDescent="0.3">
      <c r="R686" s="34"/>
      <c r="S686" s="34"/>
    </row>
    <row r="687" spans="18:19" x14ac:dyDescent="0.3">
      <c r="R687" s="34"/>
      <c r="S687" s="34"/>
    </row>
    <row r="688" spans="18:19" x14ac:dyDescent="0.3">
      <c r="R688" s="34"/>
      <c r="S688" s="34"/>
    </row>
    <row r="689" spans="18:19" x14ac:dyDescent="0.3">
      <c r="R689" s="34"/>
      <c r="S689" s="34"/>
    </row>
    <row r="690" spans="18:19" x14ac:dyDescent="0.3">
      <c r="R690" s="34"/>
      <c r="S690" s="34"/>
    </row>
    <row r="691" spans="18:19" x14ac:dyDescent="0.3">
      <c r="R691" s="34"/>
      <c r="S691" s="34"/>
    </row>
    <row r="692" spans="18:19" x14ac:dyDescent="0.3">
      <c r="R692" s="34"/>
      <c r="S692" s="34"/>
    </row>
    <row r="693" spans="18:19" x14ac:dyDescent="0.3">
      <c r="R693" s="34"/>
      <c r="S693" s="34"/>
    </row>
    <row r="694" spans="18:19" x14ac:dyDescent="0.3">
      <c r="R694" s="34"/>
      <c r="S694" s="34"/>
    </row>
    <row r="695" spans="18:19" x14ac:dyDescent="0.3">
      <c r="R695" s="34"/>
      <c r="S695" s="34"/>
    </row>
    <row r="696" spans="18:19" x14ac:dyDescent="0.3">
      <c r="R696" s="34"/>
      <c r="S696" s="34"/>
    </row>
    <row r="697" spans="18:19" x14ac:dyDescent="0.3">
      <c r="R697" s="34"/>
      <c r="S697" s="34"/>
    </row>
    <row r="698" spans="18:19" x14ac:dyDescent="0.3">
      <c r="R698" s="34"/>
      <c r="S698" s="34"/>
    </row>
    <row r="699" spans="18:19" x14ac:dyDescent="0.3">
      <c r="R699" s="34"/>
      <c r="S699" s="34"/>
    </row>
    <row r="700" spans="18:19" x14ac:dyDescent="0.3">
      <c r="R700" s="34"/>
      <c r="S700" s="34"/>
    </row>
    <row r="701" spans="18:19" x14ac:dyDescent="0.3">
      <c r="R701" s="34"/>
      <c r="S701" s="34"/>
    </row>
    <row r="702" spans="18:19" x14ac:dyDescent="0.3">
      <c r="R702" s="34"/>
      <c r="S702" s="34"/>
    </row>
    <row r="703" spans="18:19" x14ac:dyDescent="0.3">
      <c r="R703" s="34"/>
      <c r="S703" s="34"/>
    </row>
    <row r="704" spans="18:19" x14ac:dyDescent="0.3">
      <c r="R704" s="34"/>
      <c r="S704" s="34"/>
    </row>
    <row r="705" spans="18:19" x14ac:dyDescent="0.3">
      <c r="R705" s="34"/>
      <c r="S705" s="34"/>
    </row>
    <row r="706" spans="18:19" x14ac:dyDescent="0.3">
      <c r="R706" s="34"/>
      <c r="S706" s="34"/>
    </row>
    <row r="707" spans="18:19" x14ac:dyDescent="0.3">
      <c r="R707" s="34"/>
      <c r="S707" s="34"/>
    </row>
    <row r="708" spans="18:19" x14ac:dyDescent="0.3">
      <c r="R708" s="34"/>
      <c r="S708" s="34"/>
    </row>
    <row r="709" spans="18:19" x14ac:dyDescent="0.3">
      <c r="R709" s="34"/>
      <c r="S709" s="34"/>
    </row>
    <row r="710" spans="18:19" x14ac:dyDescent="0.3">
      <c r="R710" s="34"/>
      <c r="S710" s="34"/>
    </row>
    <row r="711" spans="18:19" x14ac:dyDescent="0.3">
      <c r="R711" s="34"/>
      <c r="S711" s="34"/>
    </row>
    <row r="712" spans="18:19" x14ac:dyDescent="0.3">
      <c r="R712" s="34"/>
      <c r="S712" s="34"/>
    </row>
    <row r="713" spans="18:19" x14ac:dyDescent="0.3">
      <c r="R713" s="34"/>
      <c r="S713" s="34"/>
    </row>
    <row r="714" spans="18:19" x14ac:dyDescent="0.3">
      <c r="R714" s="34"/>
      <c r="S714" s="34"/>
    </row>
    <row r="715" spans="18:19" x14ac:dyDescent="0.3">
      <c r="R715" s="34"/>
      <c r="S715" s="34"/>
    </row>
    <row r="716" spans="18:19" x14ac:dyDescent="0.3">
      <c r="R716" s="34"/>
      <c r="S716" s="34"/>
    </row>
    <row r="717" spans="18:19" x14ac:dyDescent="0.3">
      <c r="R717" s="34"/>
      <c r="S717" s="34"/>
    </row>
    <row r="718" spans="18:19" x14ac:dyDescent="0.3">
      <c r="R718" s="34"/>
      <c r="S718" s="34"/>
    </row>
    <row r="719" spans="18:19" x14ac:dyDescent="0.3">
      <c r="R719" s="34"/>
      <c r="S719" s="34"/>
    </row>
    <row r="720" spans="18:19" x14ac:dyDescent="0.3">
      <c r="R720" s="34"/>
      <c r="S720" s="34"/>
    </row>
    <row r="721" spans="18:19" x14ac:dyDescent="0.3">
      <c r="R721" s="34"/>
      <c r="S721" s="34"/>
    </row>
    <row r="722" spans="18:19" x14ac:dyDescent="0.3">
      <c r="R722" s="34"/>
      <c r="S722" s="34"/>
    </row>
    <row r="723" spans="18:19" x14ac:dyDescent="0.3">
      <c r="R723" s="34"/>
      <c r="S723" s="34"/>
    </row>
    <row r="724" spans="18:19" x14ac:dyDescent="0.3">
      <c r="R724" s="34"/>
      <c r="S724" s="34"/>
    </row>
    <row r="725" spans="18:19" x14ac:dyDescent="0.3">
      <c r="R725" s="34"/>
      <c r="S725" s="34"/>
    </row>
    <row r="726" spans="18:19" x14ac:dyDescent="0.3">
      <c r="R726" s="34"/>
      <c r="S726" s="34"/>
    </row>
    <row r="727" spans="18:19" x14ac:dyDescent="0.3">
      <c r="R727" s="34"/>
      <c r="S727" s="34"/>
    </row>
    <row r="728" spans="18:19" x14ac:dyDescent="0.3">
      <c r="R728" s="34"/>
      <c r="S728" s="34"/>
    </row>
    <row r="729" spans="18:19" x14ac:dyDescent="0.3">
      <c r="R729" s="34"/>
      <c r="S729" s="34"/>
    </row>
    <row r="730" spans="18:19" x14ac:dyDescent="0.3">
      <c r="R730" s="34"/>
      <c r="S730" s="34"/>
    </row>
    <row r="731" spans="18:19" x14ac:dyDescent="0.3">
      <c r="R731" s="34"/>
      <c r="S731" s="34"/>
    </row>
    <row r="732" spans="18:19" x14ac:dyDescent="0.3">
      <c r="R732" s="34"/>
      <c r="S732" s="34"/>
    </row>
    <row r="733" spans="18:19" x14ac:dyDescent="0.3">
      <c r="R733" s="34"/>
      <c r="S733" s="34"/>
    </row>
    <row r="734" spans="18:19" x14ac:dyDescent="0.3">
      <c r="R734" s="34"/>
      <c r="S734" s="34"/>
    </row>
    <row r="735" spans="18:19" x14ac:dyDescent="0.3">
      <c r="R735" s="34"/>
      <c r="S735" s="34"/>
    </row>
    <row r="736" spans="18:19" x14ac:dyDescent="0.3">
      <c r="R736" s="34"/>
      <c r="S736" s="34"/>
    </row>
    <row r="737" spans="18:19" x14ac:dyDescent="0.3">
      <c r="R737" s="34"/>
      <c r="S737" s="34"/>
    </row>
    <row r="738" spans="18:19" x14ac:dyDescent="0.3">
      <c r="R738" s="34"/>
      <c r="S738" s="34"/>
    </row>
    <row r="739" spans="18:19" x14ac:dyDescent="0.3">
      <c r="R739" s="34"/>
      <c r="S739" s="34"/>
    </row>
    <row r="740" spans="18:19" x14ac:dyDescent="0.3">
      <c r="R740" s="34"/>
      <c r="S740" s="34"/>
    </row>
    <row r="741" spans="18:19" x14ac:dyDescent="0.3">
      <c r="R741" s="34"/>
      <c r="S741" s="34"/>
    </row>
    <row r="742" spans="18:19" x14ac:dyDescent="0.3">
      <c r="R742" s="34"/>
      <c r="S742" s="34"/>
    </row>
    <row r="743" spans="18:19" x14ac:dyDescent="0.3">
      <c r="R743" s="34"/>
      <c r="S743" s="34"/>
    </row>
    <row r="744" spans="18:19" x14ac:dyDescent="0.3">
      <c r="R744" s="34"/>
      <c r="S744" s="34"/>
    </row>
    <row r="745" spans="18:19" x14ac:dyDescent="0.3">
      <c r="R745" s="34"/>
      <c r="S745" s="34"/>
    </row>
    <row r="746" spans="18:19" x14ac:dyDescent="0.3">
      <c r="R746" s="34"/>
      <c r="S746" s="34"/>
    </row>
    <row r="747" spans="18:19" x14ac:dyDescent="0.3">
      <c r="R747" s="34"/>
      <c r="S747" s="34"/>
    </row>
    <row r="748" spans="18:19" x14ac:dyDescent="0.3">
      <c r="R748" s="34"/>
      <c r="S748" s="34"/>
    </row>
    <row r="749" spans="18:19" x14ac:dyDescent="0.3">
      <c r="R749" s="34"/>
      <c r="S749" s="34"/>
    </row>
    <row r="750" spans="18:19" x14ac:dyDescent="0.3">
      <c r="R750" s="34"/>
      <c r="S750" s="34"/>
    </row>
    <row r="751" spans="18:19" x14ac:dyDescent="0.3">
      <c r="R751" s="34"/>
      <c r="S751" s="34"/>
    </row>
    <row r="752" spans="18:19" x14ac:dyDescent="0.3">
      <c r="R752" s="34"/>
      <c r="S752" s="34"/>
    </row>
    <row r="753" spans="18:19" x14ac:dyDescent="0.3">
      <c r="R753" s="34"/>
      <c r="S753" s="34"/>
    </row>
    <row r="754" spans="18:19" x14ac:dyDescent="0.3">
      <c r="R754" s="34"/>
      <c r="S754" s="34"/>
    </row>
    <row r="755" spans="18:19" x14ac:dyDescent="0.3">
      <c r="R755" s="34"/>
      <c r="S755" s="34"/>
    </row>
    <row r="756" spans="18:19" x14ac:dyDescent="0.3">
      <c r="R756" s="34"/>
      <c r="S756" s="34"/>
    </row>
    <row r="757" spans="18:19" x14ac:dyDescent="0.3">
      <c r="R757" s="34"/>
      <c r="S757" s="34"/>
    </row>
    <row r="758" spans="18:19" x14ac:dyDescent="0.3">
      <c r="R758" s="34"/>
      <c r="S758" s="34"/>
    </row>
    <row r="759" spans="18:19" x14ac:dyDescent="0.3">
      <c r="R759" s="34"/>
      <c r="S759" s="34"/>
    </row>
    <row r="760" spans="18:19" x14ac:dyDescent="0.3">
      <c r="R760" s="34"/>
      <c r="S760" s="34"/>
    </row>
    <row r="761" spans="18:19" x14ac:dyDescent="0.3">
      <c r="R761" s="34"/>
      <c r="S761" s="34"/>
    </row>
    <row r="762" spans="18:19" x14ac:dyDescent="0.3">
      <c r="R762" s="34"/>
      <c r="S762" s="34"/>
    </row>
    <row r="763" spans="18:19" x14ac:dyDescent="0.3">
      <c r="R763" s="34"/>
      <c r="S763" s="34"/>
    </row>
    <row r="764" spans="18:19" x14ac:dyDescent="0.3">
      <c r="R764" s="34"/>
      <c r="S764" s="34"/>
    </row>
    <row r="765" spans="18:19" x14ac:dyDescent="0.3">
      <c r="R765" s="34"/>
      <c r="S765" s="34"/>
    </row>
    <row r="766" spans="18:19" x14ac:dyDescent="0.3">
      <c r="R766" s="34"/>
      <c r="S766" s="34"/>
    </row>
    <row r="767" spans="18:19" x14ac:dyDescent="0.3">
      <c r="R767" s="34"/>
      <c r="S767" s="34"/>
    </row>
    <row r="768" spans="18:19" x14ac:dyDescent="0.3">
      <c r="R768" s="34"/>
      <c r="S768" s="34"/>
    </row>
    <row r="769" spans="18:19" x14ac:dyDescent="0.3">
      <c r="R769" s="34"/>
      <c r="S769" s="34"/>
    </row>
    <row r="770" spans="18:19" x14ac:dyDescent="0.3">
      <c r="R770" s="34"/>
      <c r="S770" s="34"/>
    </row>
    <row r="771" spans="18:19" x14ac:dyDescent="0.3">
      <c r="R771" s="34"/>
      <c r="S771" s="34"/>
    </row>
    <row r="772" spans="18:19" x14ac:dyDescent="0.3">
      <c r="R772" s="34"/>
      <c r="S772" s="34"/>
    </row>
    <row r="773" spans="18:19" x14ac:dyDescent="0.3">
      <c r="R773" s="34"/>
      <c r="S773" s="34"/>
    </row>
    <row r="774" spans="18:19" x14ac:dyDescent="0.3">
      <c r="R774" s="34"/>
      <c r="S774" s="34"/>
    </row>
    <row r="775" spans="18:19" x14ac:dyDescent="0.3">
      <c r="R775" s="34"/>
      <c r="S775" s="34"/>
    </row>
    <row r="776" spans="18:19" x14ac:dyDescent="0.3">
      <c r="R776" s="34"/>
      <c r="S776" s="34"/>
    </row>
    <row r="777" spans="18:19" x14ac:dyDescent="0.3">
      <c r="R777" s="34"/>
      <c r="S777" s="34"/>
    </row>
    <row r="778" spans="18:19" x14ac:dyDescent="0.3">
      <c r="R778" s="34"/>
      <c r="S778" s="34"/>
    </row>
    <row r="779" spans="18:19" x14ac:dyDescent="0.3">
      <c r="R779" s="34"/>
      <c r="S779" s="34"/>
    </row>
    <row r="780" spans="18:19" x14ac:dyDescent="0.3">
      <c r="R780" s="34"/>
      <c r="S780" s="34"/>
    </row>
    <row r="781" spans="18:19" x14ac:dyDescent="0.3">
      <c r="R781" s="34"/>
      <c r="S781" s="34"/>
    </row>
    <row r="782" spans="18:19" x14ac:dyDescent="0.3">
      <c r="R782" s="34"/>
      <c r="S782" s="34"/>
    </row>
    <row r="783" spans="18:19" x14ac:dyDescent="0.3">
      <c r="R783" s="34"/>
      <c r="S783" s="34"/>
    </row>
    <row r="784" spans="18:19" x14ac:dyDescent="0.3">
      <c r="R784" s="34"/>
      <c r="S784" s="34"/>
    </row>
    <row r="785" spans="18:19" x14ac:dyDescent="0.3">
      <c r="R785" s="34"/>
      <c r="S785" s="34"/>
    </row>
    <row r="786" spans="18:19" x14ac:dyDescent="0.3">
      <c r="R786" s="34"/>
      <c r="S786" s="34"/>
    </row>
    <row r="787" spans="18:19" x14ac:dyDescent="0.3">
      <c r="R787" s="34"/>
      <c r="S787" s="34"/>
    </row>
    <row r="788" spans="18:19" x14ac:dyDescent="0.3">
      <c r="R788" s="34"/>
      <c r="S788" s="34"/>
    </row>
    <row r="789" spans="18:19" x14ac:dyDescent="0.3">
      <c r="R789" s="34"/>
      <c r="S789" s="34"/>
    </row>
    <row r="790" spans="18:19" x14ac:dyDescent="0.3">
      <c r="R790" s="34"/>
      <c r="S790" s="34"/>
    </row>
    <row r="791" spans="18:19" x14ac:dyDescent="0.3">
      <c r="R791" s="34"/>
      <c r="S791" s="34"/>
    </row>
    <row r="792" spans="18:19" x14ac:dyDescent="0.3">
      <c r="R792" s="34"/>
      <c r="S792" s="34"/>
    </row>
    <row r="793" spans="18:19" x14ac:dyDescent="0.3">
      <c r="R793" s="34"/>
      <c r="S793" s="34"/>
    </row>
    <row r="794" spans="18:19" x14ac:dyDescent="0.3">
      <c r="R794" s="34"/>
      <c r="S794" s="34"/>
    </row>
    <row r="795" spans="18:19" x14ac:dyDescent="0.3">
      <c r="R795" s="34"/>
      <c r="S795" s="34"/>
    </row>
    <row r="796" spans="18:19" x14ac:dyDescent="0.3">
      <c r="R796" s="34"/>
      <c r="S796" s="34"/>
    </row>
    <row r="797" spans="18:19" x14ac:dyDescent="0.3">
      <c r="R797" s="34"/>
      <c r="S797" s="34"/>
    </row>
    <row r="798" spans="18:19" x14ac:dyDescent="0.3">
      <c r="R798" s="34"/>
      <c r="S798" s="34"/>
    </row>
    <row r="799" spans="18:19" x14ac:dyDescent="0.3">
      <c r="R799" s="34"/>
      <c r="S799" s="34"/>
    </row>
    <row r="800" spans="18:19" x14ac:dyDescent="0.3">
      <c r="R800" s="34"/>
      <c r="S800" s="34"/>
    </row>
    <row r="801" spans="18:19" x14ac:dyDescent="0.3">
      <c r="R801" s="34"/>
      <c r="S801" s="34"/>
    </row>
    <row r="802" spans="18:19" x14ac:dyDescent="0.3">
      <c r="R802" s="34"/>
      <c r="S802" s="34"/>
    </row>
    <row r="803" spans="18:19" x14ac:dyDescent="0.3">
      <c r="R803" s="34"/>
      <c r="S803" s="34"/>
    </row>
    <row r="804" spans="18:19" x14ac:dyDescent="0.3">
      <c r="R804" s="34"/>
      <c r="S804" s="34"/>
    </row>
    <row r="805" spans="18:19" x14ac:dyDescent="0.3">
      <c r="R805" s="34"/>
      <c r="S805" s="34"/>
    </row>
    <row r="806" spans="18:19" x14ac:dyDescent="0.3">
      <c r="R806" s="34"/>
      <c r="S806" s="34"/>
    </row>
    <row r="807" spans="18:19" x14ac:dyDescent="0.3">
      <c r="R807" s="34"/>
      <c r="S807" s="34"/>
    </row>
    <row r="808" spans="18:19" x14ac:dyDescent="0.3">
      <c r="R808" s="34"/>
      <c r="S808" s="34"/>
    </row>
    <row r="809" spans="18:19" x14ac:dyDescent="0.3">
      <c r="R809" s="34"/>
      <c r="S809" s="34"/>
    </row>
    <row r="810" spans="18:19" x14ac:dyDescent="0.3">
      <c r="R810" s="34"/>
      <c r="S810" s="34"/>
    </row>
    <row r="811" spans="18:19" x14ac:dyDescent="0.3">
      <c r="R811" s="34"/>
      <c r="S811" s="34"/>
    </row>
    <row r="812" spans="18:19" x14ac:dyDescent="0.3">
      <c r="R812" s="34"/>
      <c r="S812" s="34"/>
    </row>
    <row r="813" spans="18:19" x14ac:dyDescent="0.3">
      <c r="R813" s="34"/>
      <c r="S813" s="34"/>
    </row>
    <row r="814" spans="18:19" x14ac:dyDescent="0.3">
      <c r="R814" s="34"/>
      <c r="S814" s="34"/>
    </row>
    <row r="815" spans="18:19" x14ac:dyDescent="0.3">
      <c r="R815" s="34"/>
      <c r="S815" s="34"/>
    </row>
    <row r="816" spans="18:19" x14ac:dyDescent="0.3">
      <c r="R816" s="34"/>
      <c r="S816" s="34"/>
    </row>
    <row r="817" spans="18:19" x14ac:dyDescent="0.3">
      <c r="R817" s="34"/>
      <c r="S817" s="34"/>
    </row>
    <row r="818" spans="18:19" x14ac:dyDescent="0.3">
      <c r="R818" s="34"/>
      <c r="S818" s="34"/>
    </row>
    <row r="819" spans="18:19" x14ac:dyDescent="0.3">
      <c r="R819" s="34"/>
      <c r="S819" s="34"/>
    </row>
    <row r="820" spans="18:19" x14ac:dyDescent="0.3">
      <c r="R820" s="34"/>
      <c r="S820" s="34"/>
    </row>
    <row r="821" spans="18:19" x14ac:dyDescent="0.3">
      <c r="R821" s="34"/>
      <c r="S821" s="34"/>
    </row>
    <row r="822" spans="18:19" x14ac:dyDescent="0.3">
      <c r="R822" s="34"/>
      <c r="S822" s="34"/>
    </row>
    <row r="823" spans="18:19" x14ac:dyDescent="0.3">
      <c r="R823" s="34"/>
      <c r="S823" s="34"/>
    </row>
    <row r="824" spans="18:19" x14ac:dyDescent="0.3">
      <c r="R824" s="34"/>
      <c r="S824" s="34"/>
    </row>
    <row r="825" spans="18:19" x14ac:dyDescent="0.3">
      <c r="R825" s="34"/>
      <c r="S825" s="34"/>
    </row>
    <row r="826" spans="18:19" x14ac:dyDescent="0.3">
      <c r="R826" s="34"/>
      <c r="S826" s="34"/>
    </row>
    <row r="827" spans="18:19" x14ac:dyDescent="0.3">
      <c r="R827" s="34"/>
      <c r="S827" s="34"/>
    </row>
    <row r="828" spans="18:19" x14ac:dyDescent="0.3">
      <c r="R828" s="34"/>
      <c r="S828" s="34"/>
    </row>
    <row r="829" spans="18:19" x14ac:dyDescent="0.3">
      <c r="R829" s="34"/>
      <c r="S829" s="34"/>
    </row>
    <row r="830" spans="18:19" x14ac:dyDescent="0.3">
      <c r="R830" s="34"/>
      <c r="S830" s="34"/>
    </row>
    <row r="831" spans="18:19" x14ac:dyDescent="0.3">
      <c r="R831" s="34"/>
      <c r="S831" s="34"/>
    </row>
    <row r="832" spans="18:19" x14ac:dyDescent="0.3">
      <c r="R832" s="34"/>
      <c r="S832" s="34"/>
    </row>
    <row r="833" spans="18:19" x14ac:dyDescent="0.3">
      <c r="R833" s="34"/>
      <c r="S833" s="34"/>
    </row>
    <row r="834" spans="18:19" x14ac:dyDescent="0.3">
      <c r="R834" s="34"/>
      <c r="S834" s="34"/>
    </row>
    <row r="835" spans="18:19" x14ac:dyDescent="0.3">
      <c r="R835" s="34"/>
      <c r="S835" s="34"/>
    </row>
    <row r="836" spans="18:19" x14ac:dyDescent="0.3">
      <c r="R836" s="34"/>
      <c r="S836" s="34"/>
    </row>
    <row r="837" spans="18:19" x14ac:dyDescent="0.3">
      <c r="R837" s="34"/>
      <c r="S837" s="34"/>
    </row>
    <row r="838" spans="18:19" x14ac:dyDescent="0.3">
      <c r="R838" s="34"/>
      <c r="S838" s="34"/>
    </row>
    <row r="839" spans="18:19" x14ac:dyDescent="0.3">
      <c r="R839" s="34"/>
      <c r="S839" s="34"/>
    </row>
    <row r="840" spans="18:19" x14ac:dyDescent="0.3">
      <c r="R840" s="34"/>
      <c r="S840" s="34"/>
    </row>
    <row r="841" spans="18:19" x14ac:dyDescent="0.3">
      <c r="R841" s="34"/>
      <c r="S841" s="34"/>
    </row>
    <row r="842" spans="18:19" x14ac:dyDescent="0.3">
      <c r="R842" s="34"/>
      <c r="S842" s="34"/>
    </row>
    <row r="843" spans="18:19" x14ac:dyDescent="0.3">
      <c r="R843" s="34"/>
      <c r="S843" s="34"/>
    </row>
    <row r="844" spans="18:19" x14ac:dyDescent="0.3">
      <c r="R844" s="34"/>
      <c r="S844" s="34"/>
    </row>
    <row r="845" spans="18:19" x14ac:dyDescent="0.3">
      <c r="R845" s="34"/>
      <c r="S845" s="34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7E4E5-C5AB-497E-8B8D-B65724B6174B}">
  <sheetPr codeName="Sheet3"/>
  <dimension ref="A1:O32"/>
  <sheetViews>
    <sheetView workbookViewId="0">
      <selection activeCell="F8" sqref="F8"/>
    </sheetView>
  </sheetViews>
  <sheetFormatPr defaultRowHeight="14.4" x14ac:dyDescent="0.3"/>
  <cols>
    <col min="1" max="1" width="15.44140625" customWidth="1"/>
    <col min="4" max="4" width="11" customWidth="1"/>
    <col min="6" max="6" width="9.21875" customWidth="1"/>
    <col min="8" max="8" width="10.77734375" customWidth="1"/>
    <col min="10" max="10" width="15.44140625" bestFit="1" customWidth="1"/>
    <col min="11" max="11" width="20" bestFit="1" customWidth="1"/>
  </cols>
  <sheetData>
    <row r="1" spans="1:15" x14ac:dyDescent="0.3">
      <c r="A1" t="s">
        <v>12</v>
      </c>
      <c r="C1" t="s">
        <v>11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J1" t="s">
        <v>18</v>
      </c>
      <c r="K1" t="s">
        <v>19</v>
      </c>
      <c r="M1" s="22" t="s">
        <v>11</v>
      </c>
      <c r="N1" t="s">
        <v>53</v>
      </c>
      <c r="O1" t="s">
        <v>54</v>
      </c>
    </row>
    <row r="2" spans="1:15" x14ac:dyDescent="0.3">
      <c r="A2">
        <v>1</v>
      </c>
      <c r="C2">
        <v>34</v>
      </c>
      <c r="D2">
        <v>19</v>
      </c>
      <c r="E2">
        <v>33</v>
      </c>
      <c r="F2">
        <v>42</v>
      </c>
      <c r="G2">
        <v>49</v>
      </c>
      <c r="H2">
        <v>64</v>
      </c>
      <c r="J2">
        <v>0</v>
      </c>
      <c r="K2">
        <v>15</v>
      </c>
      <c r="M2" s="23">
        <v>34</v>
      </c>
      <c r="N2">
        <v>49</v>
      </c>
      <c r="O2">
        <v>15</v>
      </c>
    </row>
    <row r="3" spans="1:15" x14ac:dyDescent="0.3">
      <c r="A3">
        <v>2</v>
      </c>
      <c r="C3">
        <v>35</v>
      </c>
      <c r="D3">
        <v>19</v>
      </c>
      <c r="E3">
        <v>33</v>
      </c>
      <c r="F3">
        <v>42</v>
      </c>
      <c r="G3">
        <v>49</v>
      </c>
      <c r="H3">
        <v>64</v>
      </c>
      <c r="J3" s="4">
        <v>1</v>
      </c>
      <c r="K3" s="4">
        <v>24</v>
      </c>
      <c r="M3" s="24">
        <v>35</v>
      </c>
      <c r="N3">
        <v>49</v>
      </c>
      <c r="O3">
        <v>15</v>
      </c>
    </row>
    <row r="4" spans="1:15" x14ac:dyDescent="0.3">
      <c r="A4">
        <v>3</v>
      </c>
      <c r="C4">
        <v>36</v>
      </c>
      <c r="D4">
        <v>28</v>
      </c>
      <c r="E4">
        <v>40</v>
      </c>
      <c r="F4">
        <v>48</v>
      </c>
      <c r="G4">
        <v>54</v>
      </c>
      <c r="H4">
        <v>67</v>
      </c>
      <c r="J4" s="4">
        <v>2</v>
      </c>
      <c r="K4" s="4">
        <v>28</v>
      </c>
      <c r="M4" s="23">
        <v>36</v>
      </c>
      <c r="N4">
        <v>54</v>
      </c>
      <c r="O4">
        <v>13</v>
      </c>
    </row>
    <row r="5" spans="1:15" x14ac:dyDescent="0.3">
      <c r="A5">
        <v>4</v>
      </c>
      <c r="C5">
        <v>37</v>
      </c>
      <c r="D5">
        <v>28</v>
      </c>
      <c r="E5">
        <v>40</v>
      </c>
      <c r="F5">
        <v>48</v>
      </c>
      <c r="G5">
        <v>54</v>
      </c>
      <c r="H5">
        <v>67</v>
      </c>
      <c r="J5" s="4">
        <v>3</v>
      </c>
      <c r="K5" s="4">
        <v>32</v>
      </c>
      <c r="M5" s="24">
        <v>37</v>
      </c>
      <c r="N5">
        <v>54</v>
      </c>
      <c r="O5">
        <v>13</v>
      </c>
    </row>
    <row r="6" spans="1:15" x14ac:dyDescent="0.3">
      <c r="A6">
        <v>5</v>
      </c>
      <c r="C6">
        <v>38</v>
      </c>
      <c r="D6">
        <v>32</v>
      </c>
      <c r="E6">
        <v>45</v>
      </c>
      <c r="F6">
        <v>53</v>
      </c>
      <c r="G6">
        <v>60</v>
      </c>
      <c r="H6">
        <v>74</v>
      </c>
      <c r="J6" s="4">
        <v>4</v>
      </c>
      <c r="K6" s="4">
        <v>35</v>
      </c>
      <c r="M6" s="23">
        <v>38</v>
      </c>
      <c r="N6">
        <v>60</v>
      </c>
      <c r="O6">
        <v>14</v>
      </c>
    </row>
    <row r="7" spans="1:15" x14ac:dyDescent="0.3">
      <c r="A7">
        <v>6</v>
      </c>
      <c r="C7">
        <v>39</v>
      </c>
      <c r="D7">
        <v>32</v>
      </c>
      <c r="E7">
        <v>45</v>
      </c>
      <c r="F7">
        <v>53</v>
      </c>
      <c r="G7">
        <v>60</v>
      </c>
      <c r="H7">
        <v>74</v>
      </c>
      <c r="J7" s="4">
        <v>5</v>
      </c>
      <c r="K7" s="4">
        <v>40</v>
      </c>
      <c r="M7" s="24">
        <v>39</v>
      </c>
      <c r="N7">
        <v>60</v>
      </c>
      <c r="O7">
        <v>14</v>
      </c>
    </row>
    <row r="8" spans="1:15" x14ac:dyDescent="0.3">
      <c r="A8">
        <v>7</v>
      </c>
      <c r="C8">
        <v>40</v>
      </c>
      <c r="D8">
        <v>33</v>
      </c>
      <c r="E8">
        <v>48</v>
      </c>
      <c r="F8">
        <v>57</v>
      </c>
      <c r="G8">
        <v>65</v>
      </c>
      <c r="H8">
        <v>81</v>
      </c>
      <c r="J8" s="4">
        <v>6</v>
      </c>
      <c r="K8" s="4">
        <v>46</v>
      </c>
      <c r="M8" s="23">
        <v>40</v>
      </c>
      <c r="N8">
        <v>65</v>
      </c>
      <c r="O8">
        <v>16</v>
      </c>
    </row>
    <row r="9" spans="1:15" x14ac:dyDescent="0.3">
      <c r="A9">
        <v>8</v>
      </c>
      <c r="C9">
        <v>41</v>
      </c>
      <c r="D9">
        <v>33</v>
      </c>
      <c r="E9">
        <v>48</v>
      </c>
      <c r="F9">
        <v>57</v>
      </c>
      <c r="G9">
        <v>65</v>
      </c>
      <c r="H9">
        <v>81</v>
      </c>
      <c r="J9" s="4">
        <v>7</v>
      </c>
      <c r="K9" s="4">
        <v>49</v>
      </c>
      <c r="M9" s="24">
        <v>41</v>
      </c>
      <c r="N9">
        <v>65</v>
      </c>
      <c r="O9">
        <v>16</v>
      </c>
    </row>
    <row r="10" spans="1:15" x14ac:dyDescent="0.3">
      <c r="A10">
        <v>9</v>
      </c>
      <c r="C10">
        <v>42</v>
      </c>
      <c r="D10">
        <v>39</v>
      </c>
      <c r="E10">
        <v>53</v>
      </c>
      <c r="F10">
        <v>62</v>
      </c>
      <c r="G10">
        <v>69</v>
      </c>
      <c r="H10">
        <v>84</v>
      </c>
      <c r="J10" s="4">
        <v>8</v>
      </c>
      <c r="K10" s="4">
        <v>52</v>
      </c>
      <c r="M10" s="23">
        <v>42</v>
      </c>
      <c r="N10">
        <v>69</v>
      </c>
      <c r="O10">
        <v>15</v>
      </c>
    </row>
    <row r="11" spans="1:15" x14ac:dyDescent="0.3">
      <c r="A11">
        <v>10</v>
      </c>
      <c r="C11">
        <v>43</v>
      </c>
      <c r="D11">
        <v>39</v>
      </c>
      <c r="E11">
        <v>53</v>
      </c>
      <c r="F11">
        <v>62</v>
      </c>
      <c r="G11">
        <v>69</v>
      </c>
      <c r="H11">
        <v>84</v>
      </c>
      <c r="J11" s="4">
        <v>9</v>
      </c>
      <c r="K11" s="4">
        <v>56</v>
      </c>
      <c r="M11" s="24">
        <v>43</v>
      </c>
      <c r="N11">
        <v>69</v>
      </c>
      <c r="O11">
        <v>15</v>
      </c>
    </row>
    <row r="12" spans="1:15" x14ac:dyDescent="0.3">
      <c r="A12">
        <v>11</v>
      </c>
      <c r="C12">
        <v>44</v>
      </c>
      <c r="D12">
        <v>50</v>
      </c>
      <c r="E12">
        <v>64</v>
      </c>
      <c r="F12">
        <v>73</v>
      </c>
      <c r="G12">
        <v>80</v>
      </c>
      <c r="H12">
        <v>95</v>
      </c>
      <c r="J12" s="4">
        <v>10</v>
      </c>
      <c r="K12" s="4">
        <v>60</v>
      </c>
      <c r="M12" s="23">
        <v>44</v>
      </c>
      <c r="N12">
        <v>80</v>
      </c>
      <c r="O12">
        <v>15</v>
      </c>
    </row>
    <row r="13" spans="1:15" x14ac:dyDescent="0.3">
      <c r="A13">
        <v>12</v>
      </c>
      <c r="C13">
        <v>45</v>
      </c>
      <c r="D13">
        <v>50</v>
      </c>
      <c r="E13">
        <v>64</v>
      </c>
      <c r="F13">
        <v>73</v>
      </c>
      <c r="G13">
        <v>80</v>
      </c>
      <c r="H13">
        <v>95</v>
      </c>
      <c r="J13" s="4">
        <v>11</v>
      </c>
      <c r="K13" s="4">
        <v>62</v>
      </c>
      <c r="M13" s="24">
        <v>45</v>
      </c>
      <c r="N13">
        <v>80</v>
      </c>
      <c r="O13">
        <v>15</v>
      </c>
    </row>
    <row r="14" spans="1:15" x14ac:dyDescent="0.3">
      <c r="A14">
        <v>13</v>
      </c>
      <c r="C14">
        <v>46</v>
      </c>
      <c r="D14">
        <v>51</v>
      </c>
      <c r="E14">
        <v>67</v>
      </c>
      <c r="F14">
        <v>77</v>
      </c>
      <c r="G14">
        <v>85</v>
      </c>
      <c r="H14">
        <v>102</v>
      </c>
      <c r="J14" s="4">
        <v>12</v>
      </c>
      <c r="K14" s="4">
        <v>66</v>
      </c>
      <c r="M14" s="23">
        <v>46</v>
      </c>
      <c r="N14">
        <v>85</v>
      </c>
      <c r="O14">
        <v>17</v>
      </c>
    </row>
    <row r="15" spans="1:15" x14ac:dyDescent="0.3">
      <c r="A15">
        <v>14</v>
      </c>
      <c r="C15">
        <v>47</v>
      </c>
      <c r="D15">
        <v>51</v>
      </c>
      <c r="E15">
        <v>67</v>
      </c>
      <c r="F15">
        <v>77</v>
      </c>
      <c r="G15">
        <v>85</v>
      </c>
      <c r="H15">
        <v>102</v>
      </c>
      <c r="J15" s="4">
        <v>13</v>
      </c>
      <c r="K15" s="4">
        <v>69</v>
      </c>
      <c r="M15" s="24">
        <v>47</v>
      </c>
      <c r="N15">
        <v>85</v>
      </c>
      <c r="O15">
        <v>17</v>
      </c>
    </row>
    <row r="16" spans="1:15" x14ac:dyDescent="0.3">
      <c r="A16">
        <v>15</v>
      </c>
      <c r="C16">
        <v>48</v>
      </c>
      <c r="D16">
        <v>57</v>
      </c>
      <c r="E16">
        <v>74</v>
      </c>
      <c r="F16">
        <v>84</v>
      </c>
      <c r="G16">
        <v>93</v>
      </c>
      <c r="H16">
        <v>111</v>
      </c>
      <c r="J16" s="4">
        <v>14</v>
      </c>
      <c r="K16" s="4">
        <v>72</v>
      </c>
      <c r="M16" s="23">
        <v>48</v>
      </c>
      <c r="N16">
        <v>93</v>
      </c>
      <c r="O16">
        <v>18</v>
      </c>
    </row>
    <row r="17" spans="1:15" x14ac:dyDescent="0.3">
      <c r="A17">
        <v>16</v>
      </c>
      <c r="C17">
        <v>49</v>
      </c>
      <c r="D17">
        <v>57</v>
      </c>
      <c r="E17">
        <v>74</v>
      </c>
      <c r="F17">
        <v>84</v>
      </c>
      <c r="G17">
        <v>93</v>
      </c>
      <c r="H17">
        <v>111</v>
      </c>
      <c r="J17" s="4">
        <v>15</v>
      </c>
      <c r="K17" s="4">
        <v>77</v>
      </c>
      <c r="M17" s="24">
        <v>49</v>
      </c>
      <c r="N17">
        <v>93</v>
      </c>
      <c r="O17">
        <v>18</v>
      </c>
    </row>
    <row r="18" spans="1:15" x14ac:dyDescent="0.3">
      <c r="A18">
        <v>17</v>
      </c>
      <c r="C18">
        <v>50</v>
      </c>
      <c r="D18">
        <v>57</v>
      </c>
      <c r="E18">
        <v>77</v>
      </c>
      <c r="F18">
        <v>89</v>
      </c>
      <c r="G18">
        <v>99</v>
      </c>
      <c r="H18">
        <v>120</v>
      </c>
      <c r="J18" s="4">
        <v>16</v>
      </c>
      <c r="K18" s="4">
        <v>82</v>
      </c>
      <c r="M18" s="23">
        <v>50</v>
      </c>
      <c r="N18">
        <v>99</v>
      </c>
      <c r="O18">
        <v>21</v>
      </c>
    </row>
    <row r="19" spans="1:15" x14ac:dyDescent="0.3">
      <c r="A19">
        <v>34</v>
      </c>
      <c r="C19">
        <v>51</v>
      </c>
      <c r="D19">
        <v>57</v>
      </c>
      <c r="E19">
        <v>77</v>
      </c>
      <c r="F19">
        <v>89</v>
      </c>
      <c r="G19">
        <v>99</v>
      </c>
      <c r="H19">
        <v>120</v>
      </c>
      <c r="J19" s="4">
        <v>17</v>
      </c>
      <c r="K19" s="4">
        <v>84</v>
      </c>
      <c r="M19" s="24">
        <v>51</v>
      </c>
      <c r="N19">
        <v>99</v>
      </c>
      <c r="O19">
        <v>21</v>
      </c>
    </row>
    <row r="20" spans="1:15" x14ac:dyDescent="0.3">
      <c r="A20">
        <v>35</v>
      </c>
      <c r="C20">
        <v>52</v>
      </c>
      <c r="D20">
        <v>70</v>
      </c>
      <c r="E20">
        <v>88</v>
      </c>
      <c r="F20">
        <v>99</v>
      </c>
      <c r="G20">
        <v>108</v>
      </c>
      <c r="H20">
        <v>127</v>
      </c>
      <c r="J20" s="4">
        <v>18</v>
      </c>
      <c r="K20" s="4">
        <v>87</v>
      </c>
      <c r="M20" s="23">
        <v>52</v>
      </c>
      <c r="N20">
        <v>108</v>
      </c>
      <c r="O20">
        <v>19</v>
      </c>
    </row>
    <row r="21" spans="1:15" x14ac:dyDescent="0.3">
      <c r="A21">
        <v>36</v>
      </c>
      <c r="C21">
        <v>53</v>
      </c>
      <c r="D21">
        <v>70</v>
      </c>
      <c r="E21">
        <v>88</v>
      </c>
      <c r="F21">
        <v>99</v>
      </c>
      <c r="G21">
        <v>108</v>
      </c>
      <c r="H21">
        <v>127</v>
      </c>
      <c r="J21" s="4">
        <v>19</v>
      </c>
      <c r="K21" s="4">
        <v>90</v>
      </c>
      <c r="M21" s="24">
        <v>53</v>
      </c>
      <c r="N21">
        <v>108</v>
      </c>
      <c r="O21">
        <v>19</v>
      </c>
    </row>
    <row r="22" spans="1:15" x14ac:dyDescent="0.3">
      <c r="A22">
        <v>37</v>
      </c>
      <c r="C22">
        <v>54</v>
      </c>
      <c r="D22">
        <v>69</v>
      </c>
      <c r="E22">
        <v>90</v>
      </c>
      <c r="F22">
        <v>102</v>
      </c>
      <c r="G22">
        <v>113</v>
      </c>
      <c r="H22">
        <v>135</v>
      </c>
      <c r="J22" s="4">
        <v>20</v>
      </c>
      <c r="K22" s="4">
        <v>94</v>
      </c>
      <c r="M22" s="23">
        <v>54</v>
      </c>
      <c r="N22">
        <v>113</v>
      </c>
      <c r="O22">
        <v>22</v>
      </c>
    </row>
    <row r="23" spans="1:15" x14ac:dyDescent="0.3">
      <c r="A23">
        <v>38</v>
      </c>
      <c r="C23">
        <v>55</v>
      </c>
      <c r="D23">
        <v>69</v>
      </c>
      <c r="E23">
        <v>90</v>
      </c>
      <c r="F23">
        <v>102</v>
      </c>
      <c r="G23">
        <v>113</v>
      </c>
      <c r="H23">
        <v>135</v>
      </c>
      <c r="J23" s="4">
        <v>21</v>
      </c>
      <c r="K23" s="4">
        <v>98</v>
      </c>
      <c r="M23" s="24">
        <v>55</v>
      </c>
      <c r="N23">
        <v>113</v>
      </c>
      <c r="O23">
        <v>22</v>
      </c>
    </row>
    <row r="24" spans="1:15" x14ac:dyDescent="0.3">
      <c r="A24">
        <v>39</v>
      </c>
      <c r="C24">
        <v>56</v>
      </c>
      <c r="D24">
        <v>88</v>
      </c>
      <c r="E24">
        <v>103</v>
      </c>
      <c r="F24">
        <v>112</v>
      </c>
      <c r="G24">
        <v>120</v>
      </c>
      <c r="H24">
        <v>136</v>
      </c>
      <c r="J24" s="4">
        <v>22</v>
      </c>
      <c r="K24" s="4">
        <v>99</v>
      </c>
      <c r="M24" s="23">
        <v>56</v>
      </c>
      <c r="N24">
        <v>120</v>
      </c>
      <c r="O24">
        <v>16</v>
      </c>
    </row>
    <row r="25" spans="1:15" x14ac:dyDescent="0.3">
      <c r="A25">
        <v>40</v>
      </c>
      <c r="C25">
        <v>57</v>
      </c>
      <c r="D25">
        <v>88</v>
      </c>
      <c r="E25">
        <v>103</v>
      </c>
      <c r="F25">
        <v>112</v>
      </c>
      <c r="G25">
        <v>120</v>
      </c>
      <c r="H25">
        <v>136</v>
      </c>
      <c r="J25" s="4">
        <v>23</v>
      </c>
      <c r="K25" s="4">
        <v>110</v>
      </c>
      <c r="M25" s="25">
        <v>57</v>
      </c>
      <c r="N25">
        <v>120</v>
      </c>
      <c r="O25">
        <v>16</v>
      </c>
    </row>
    <row r="26" spans="1:15" x14ac:dyDescent="0.3">
      <c r="A26">
        <v>41</v>
      </c>
      <c r="J26" s="4">
        <v>24</v>
      </c>
      <c r="K26" s="4">
        <v>110</v>
      </c>
    </row>
    <row r="27" spans="1:15" x14ac:dyDescent="0.3">
      <c r="J27" s="4">
        <v>25</v>
      </c>
      <c r="K27" s="4">
        <v>110</v>
      </c>
    </row>
    <row r="28" spans="1:15" x14ac:dyDescent="0.3">
      <c r="J28" s="4">
        <v>26</v>
      </c>
      <c r="K28" s="4">
        <v>110</v>
      </c>
    </row>
    <row r="29" spans="1:15" x14ac:dyDescent="0.3">
      <c r="J29" s="4">
        <v>27</v>
      </c>
      <c r="K29" s="4">
        <v>110</v>
      </c>
    </row>
    <row r="30" spans="1:15" x14ac:dyDescent="0.3">
      <c r="J30" s="4">
        <v>28</v>
      </c>
      <c r="K30" s="4">
        <v>122</v>
      </c>
    </row>
    <row r="31" spans="1:15" x14ac:dyDescent="0.3">
      <c r="J31" s="4">
        <v>29</v>
      </c>
      <c r="K31" s="4">
        <v>134</v>
      </c>
    </row>
    <row r="32" spans="1:15" x14ac:dyDescent="0.3">
      <c r="J32" s="4">
        <v>30</v>
      </c>
      <c r="K32" s="4">
        <v>140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Database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.</dc:creator>
  <cp:lastModifiedBy>Kevin .</cp:lastModifiedBy>
  <dcterms:created xsi:type="dcterms:W3CDTF">2021-12-22T05:34:54Z</dcterms:created>
  <dcterms:modified xsi:type="dcterms:W3CDTF">2022-05-11T15:05:22Z</dcterms:modified>
</cp:coreProperties>
</file>